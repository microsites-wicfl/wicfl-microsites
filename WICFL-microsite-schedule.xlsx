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hedule" sheetId="1" state="visible" r:id="rId3"/>
    <sheet name="Gates and Criteria" sheetId="2" state="visible" r:id="rId4"/>
    <sheet name="Legend and Assumptions" sheetId="3" state="visible" r:id="rId5"/>
  </sheets>
  <definedNames>
    <definedName function="false" hidden="true" localSheetId="0" name="_xlnm._FilterDatabase" vbProcedure="false">Schedule!$A$5:$I$84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<sst xmlns="http://schemas.openxmlformats.org/spreadsheetml/2006/main" count="449" uniqueCount="271">
  <si>
    <t xml:space="preserve">WICFL Microsite Project - Activity Schedule</t>
  </si>
  <si>
    <t xml:space="preserve">Build the factory first. Two separate gates: technical repeatability (Gate A) and commercial validation (Gate B).</t>
  </si>
  <si>
    <t xml:space="preserve">Prepared by Victor  |  Version 1.2  |  26 Aug 2026  |  Architecture review applied</t>
  </si>
  <si>
    <t xml:space="preserve">Phase</t>
  </si>
  <si>
    <t xml:space="preserve">ID</t>
  </si>
  <si>
    <t xml:space="preserve">Activity</t>
  </si>
  <si>
    <t xml:space="preserve">Owner</t>
  </si>
  <si>
    <t xml:space="preserve">Start</t>
  </si>
  <si>
    <t xml:space="preserve">End</t>
  </si>
  <si>
    <t xml:space="preserve">Work Days</t>
  </si>
  <si>
    <t xml:space="preserve">Status</t>
  </si>
  <si>
    <t xml:space="preserve">Gate / Notes</t>
  </si>
  <si>
    <t xml:space="preserve">PHASE 0  |  Alignment and Decisions  |  24 Aug - 28 Aug 2026  |  Owner: Kevin</t>
  </si>
  <si>
    <t xml:space="preserve">Phase 0</t>
  </si>
  <si>
    <t xml:space="preserve">0.1</t>
  </si>
  <si>
    <t xml:space="preserve">Group kickoff call: confirm plan, roles and sequence</t>
  </si>
  <si>
    <t xml:space="preserve">All</t>
  </si>
  <si>
    <t xml:space="preserve">Not started</t>
  </si>
  <si>
    <t xml:space="preserve">0.2</t>
  </si>
  <si>
    <t xml:space="preserve">Confirm agreed changes: Workers over Pages, two gates, Site #3 generated not hand built</t>
  </si>
  <si>
    <t xml:space="preserve">Kevin</t>
  </si>
  <si>
    <t xml:space="preserve">0.3</t>
  </si>
  <si>
    <t xml:space="preserve">Obtain written per-number monthly quote from GoTo</t>
  </si>
  <si>
    <t xml:space="preserve">Blocks 2.6. Range at stake: $1.9k vs $6k-$18k per year at 100 numbers</t>
  </si>
  <si>
    <t xml:space="preserve">0.4</t>
  </si>
  <si>
    <t xml:space="preserve">Assign content owner for English, and a native Spanish writer</t>
  </si>
  <si>
    <t xml:space="preserve">Largest cost line in the project. Currently unassigned</t>
  </si>
  <si>
    <t xml:space="preserve">0.5</t>
  </si>
  <si>
    <t xml:space="preserve">Select English niche and target market for Site #1</t>
  </si>
  <si>
    <t xml:space="preserve">0.6</t>
  </si>
  <si>
    <t xml:space="preserve">Select Spanish niche and target market for Site #2</t>
  </si>
  <si>
    <t xml:space="preserve">0.7</t>
  </si>
  <si>
    <t xml:space="preserve">Define numeric success criteria for Gate B</t>
  </si>
  <si>
    <t xml:space="preserve">Kevin + Victor</t>
  </si>
  <si>
    <t xml:space="preserve">Set the bar now, before there is data to bend it to</t>
  </si>
  <si>
    <t xml:space="preserve">0.8</t>
  </si>
  <si>
    <t xml:space="preserve">Decide whether pilot sites get their own Google Business Profiles</t>
  </si>
  <si>
    <t xml:space="preserve">May change which niches are viable</t>
  </si>
  <si>
    <t xml:space="preserve">0.9</t>
  </si>
  <si>
    <t xml:space="preserve">Confirm Pavel's real weekly availability for the technical ramp</t>
  </si>
  <si>
    <t xml:space="preserve">Pavel</t>
  </si>
  <si>
    <t xml:space="preserve">W-009. The Phase 3 start date is unconfirmed until this closes</t>
  </si>
  <si>
    <t xml:space="preserve">0.11</t>
  </si>
  <si>
    <t xml:space="preserve">Confirm which CRM WICFL uses: same HighLevel instance as WAGS, a sub-account, or something else</t>
  </si>
  <si>
    <t xml:space="preserve">W-096. Blocks 2.5. Surfaced by architecture review, never named before</t>
  </si>
  <si>
    <t xml:space="preserve">0.10</t>
  </si>
  <si>
    <t xml:space="preserve">Supply Walker brand assets: logo, approved contact, disclosures, license numbers</t>
  </si>
  <si>
    <t xml:space="preserve">W-008. From Pavel's research. Site #1 cannot publish without it</t>
  </si>
  <si>
    <t xml:space="preserve">PHASE 1  |  Infrastructure and Niche Validation  |  31 Aug - 4 Sep 2026  |  Owner: Victor + Pavel</t>
  </si>
  <si>
    <t xml:space="preserve">Phase 1</t>
  </si>
  <si>
    <t xml:space="preserve">1.1</t>
  </si>
  <si>
    <t xml:space="preserve">Create company-owned Cloudflare account under a company email</t>
  </si>
  <si>
    <t xml:space="preserve">Victor</t>
  </si>
  <si>
    <t xml:space="preserve">Never a personal account. This becomes the whole business asset</t>
  </si>
  <si>
    <t xml:space="preserve">1.2</t>
  </si>
  <si>
    <t xml:space="preserve">Configure roles: two Super Administrators, Pavel as Administrator</t>
  </si>
  <si>
    <t xml:space="preserve">1.3</t>
  </si>
  <si>
    <t xml:space="preserve">Enable 2FA and store recovery codes in a shared company vault</t>
  </si>
  <si>
    <t xml:space="preserve">1.4</t>
  </si>
  <si>
    <t xml:space="preserve">Create GitHub organization and monorepo, configure access</t>
  </si>
  <si>
    <t xml:space="preserve">1.5</t>
  </si>
  <si>
    <t xml:space="preserve">Validate the niches before buying anything: keywords, intent, SERP competition, real local angle</t>
  </si>
  <si>
    <t xml:space="preserve">W-016. From Pavel's research. If a niche is owned by national aggregators, it is discarded and Kevin picks another. BLOCKS 1.7</t>
  </si>
  <si>
    <t xml:space="preserve">1.6</t>
  </si>
  <si>
    <t xml:space="preserve">Provision Pavel's access: Cloudflare Administrator, GitHub, GoTo, GA4, Search Console</t>
  </si>
  <si>
    <t xml:space="preserve">W-017. From Pavel's research</t>
  </si>
  <si>
    <t xml:space="preserve">1.7</t>
  </si>
  <si>
    <t xml:space="preserve">Stand up Workers Static Assets deploy pipeline and GitHub Actions</t>
  </si>
  <si>
    <t xml:space="preserve">1.8</t>
  </si>
  <si>
    <t xml:space="preserve">Write architecture handoff document</t>
  </si>
  <si>
    <t xml:space="preserve">Keeps Victor out of the critical path later</t>
  </si>
  <si>
    <t xml:space="preserve">PHASE 1b  |  Domains  |  7 Sep - 8 Sep 2026  |  Owner: Victor  |  Only after niche validation passes</t>
  </si>
  <si>
    <t xml:space="preserve">Phase 1b</t>
  </si>
  <si>
    <t xml:space="preserve">1.9</t>
  </si>
  <si>
    <t xml:space="preserve">Kevin approves domain names for the validated niches</t>
  </si>
  <si>
    <t xml:space="preserve">W-007. Moved after 1.5 so we never buy a domain for a niche we cannot win</t>
  </si>
  <si>
    <t xml:space="preserve">1.10</t>
  </si>
  <si>
    <t xml:space="preserve">Register Site #1 and Site #2 domains via Cloudflare Registrar</t>
  </si>
  <si>
    <t xml:space="preserve">W-011</t>
  </si>
  <si>
    <t xml:space="preserve">1.11</t>
  </si>
  <si>
    <t xml:space="preserve">Configure zones, DNS records and SSL</t>
  </si>
  <si>
    <t xml:space="preserve">Framework build does not depend on domains, so this adds no critical path</t>
  </si>
  <si>
    <t xml:space="preserve">PARALLEL TRACK  |  Pavel Technical Ramp  |  31 Aug - 18 Sep 2026  |  Owner: Pavel</t>
  </si>
  <si>
    <t xml:space="preserve">Ramp</t>
  </si>
  <si>
    <t xml:space="preserve">R.1</t>
  </si>
  <si>
    <t xml:space="preserve">HTML and CSS to the level of reading and diagnosing, not building</t>
  </si>
  <si>
    <t xml:space="preserve">W-018. Pavel never writes HTML to launch a site. Scope is diagnosis</t>
  </si>
  <si>
    <t xml:space="preserve">R.2</t>
  </si>
  <si>
    <t xml:space="preserve">Astro concepts: pages, components, layouts, how config and content feed the template</t>
  </si>
  <si>
    <t xml:space="preserve">W-018</t>
  </si>
  <si>
    <t xml:space="preserve">R.3</t>
  </si>
  <si>
    <t xml:space="preserve">Git workflow and Cloudflare basics</t>
  </si>
  <si>
    <t xml:space="preserve">R.4</t>
  </si>
  <si>
    <t xml:space="preserve">Shadow the framework build</t>
  </si>
  <si>
    <t xml:space="preserve">W-019. Duration adjusts once 0.9 closes. Preferred fix if the ramp runs long is extending this, not compressing Phase 3</t>
  </si>
  <si>
    <t xml:space="preserve">PHASE 2  |  Framework Build  |  8 Sep - 18 Sep 2026  |  BLOCK A gated by the handoff; BLOCK B gated by the 9 Oct launch</t>
  </si>
  <si>
    <t xml:space="preserve">Phase 2</t>
  </si>
  <si>
    <t xml:space="preserve">2.1</t>
  </si>
  <si>
    <t xml:space="preserve">Define the site config schema</t>
  </si>
  <si>
    <t xml:space="preserve">THE contract. Every input a site needs. Everything downstream builds on it</t>
  </si>
  <si>
    <t xml:space="preserve">2.2</t>
  </si>
  <si>
    <t xml:space="preserve">Build Astro base template: layouts, components, design system</t>
  </si>
  <si>
    <t xml:space="preserve">Victor + Pavel</t>
  </si>
  <si>
    <t xml:space="preserve">2.3</t>
  </si>
  <si>
    <t xml:space="preserve">Bilingual routing for English and Spanish, with hreflang</t>
  </si>
  <si>
    <t xml:space="preserve">Built in from day one, not retrofitted</t>
  </si>
  <si>
    <t xml:space="preserve">Phase 2 B</t>
  </si>
  <si>
    <t xml:space="preserve">2.4</t>
  </si>
  <si>
    <t xml:space="preserve">[BLOCK B, due 9 Oct] Technical SEO baseline: sitemap, robots, canonical, schema.org markup</t>
  </si>
  <si>
    <t xml:space="preserve">2.5</t>
  </si>
  <si>
    <t xml:space="preserve">[BLOCK B, due 9 Oct] Wire analytics and lead capture, end to end</t>
  </si>
  <si>
    <t xml:space="preserve">Depends on 0.11, the CRM is undecided</t>
  </si>
  <si>
    <t xml:space="preserve">2.6</t>
  </si>
  <si>
    <t xml:space="preserve">[BLOCK B, due 9 Oct] Tracking phone number as a config value, routed into GoTo</t>
  </si>
  <si>
    <t xml:space="preserve">Depends on 0.3</t>
  </si>
  <si>
    <t xml:space="preserve">2.7</t>
  </si>
  <si>
    <t xml:space="preserve">Build the new-site scaffold command that generates a site from config</t>
  </si>
  <si>
    <t xml:space="preserve">Deliberately crude: only renders the template from config, rewritten during the pilots. Without it, Gate A tests Pavel speed, not the factory</t>
  </si>
  <si>
    <t xml:space="preserve">2.8</t>
  </si>
  <si>
    <t xml:space="preserve">[BLOCK B] Build CI content differentiation gate that blocks deploys on cross-site similarity</t>
  </si>
  <si>
    <t xml:space="preserve">Protects the portfolio from doorway risk permanently</t>
  </si>
  <si>
    <t xml:space="preserve">2.9</t>
  </si>
  <si>
    <t xml:space="preserve">[BLOCK B, due 9 Oct] Build the QA and launch checklist: technical, SEO, content, mobile, conversion, tracking, deploy</t>
  </si>
  <si>
    <t xml:space="preserve">Pavel + Victor</t>
  </si>
  <si>
    <t xml:space="preserve">W-029. From Pavel's research. Everything automatable goes into CI, not human judgement</t>
  </si>
  <si>
    <t xml:space="preserve">2.10</t>
  </si>
  <si>
    <t xml:space="preserve">Handoff session with Pavel plus written documentation</t>
  </si>
  <si>
    <t xml:space="preserve">Exit check: Pavel generates an empty site unaided</t>
  </si>
  <si>
    <t xml:space="preserve">PHASE 3  |  Site #1, English  |  21 Sep - 9 Oct 2026  |  Owner: Pavel</t>
  </si>
  <si>
    <t xml:space="preserve">Phase 3</t>
  </si>
  <si>
    <t xml:space="preserve">3.1</t>
  </si>
  <si>
    <t xml:space="preserve">Generate Site #1 from its config file</t>
  </si>
  <si>
    <t xml:space="preserve">Generated, not hand built. START DATE AT RISK until 0.9 closes</t>
  </si>
  <si>
    <t xml:space="preserve">3.2</t>
  </si>
  <si>
    <t xml:space="preserve">Keyword and SERP research for the chosen niche</t>
  </si>
  <si>
    <t xml:space="preserve">3.3</t>
  </si>
  <si>
    <t xml:space="preserve">Write 15-25 pages of differentiated content</t>
  </si>
  <si>
    <t xml:space="preserve">Content owner</t>
  </si>
  <si>
    <t xml:space="preserve">Swap-the-city test must pass on every page</t>
  </si>
  <si>
    <t xml:space="preserve">3.4</t>
  </si>
  <si>
    <t xml:space="preserve">Provision and wire the tracking phone number</t>
  </si>
  <si>
    <t xml:space="preserve">3.5</t>
  </si>
  <si>
    <t xml:space="preserve">QA: Core Web Vitals, mobile, forms, lead routing end to end</t>
  </si>
  <si>
    <t xml:space="preserve">3.6</t>
  </si>
  <si>
    <t xml:space="preserve">Create Search Console property and submit sitemap</t>
  </si>
  <si>
    <t xml:space="preserve">3.7</t>
  </si>
  <si>
    <t xml:space="preserve">Launch Site #1</t>
  </si>
  <si>
    <t xml:space="preserve">Starts the 120-day clock for Gate B</t>
  </si>
  <si>
    <t xml:space="preserve">3.8</t>
  </si>
  <si>
    <t xml:space="preserve">Log hours spent, as the baseline for Gate A</t>
  </si>
  <si>
    <t xml:space="preserve">PHASE 4  |  Site #2, Spanish  |  12 Oct - 30 Oct 2026  |  Owner: Pavel</t>
  </si>
  <si>
    <t xml:space="preserve">Phase 4</t>
  </si>
  <si>
    <t xml:space="preserve">4.1</t>
  </si>
  <si>
    <t xml:space="preserve">Generate Site #2 from its config file</t>
  </si>
  <si>
    <t xml:space="preserve">Validates the bilingual framework</t>
  </si>
  <si>
    <t xml:space="preserve">4.2</t>
  </si>
  <si>
    <t xml:space="preserve">Spanish keyword research for the Miami and Broward market</t>
  </si>
  <si>
    <t xml:space="preserve">4.3</t>
  </si>
  <si>
    <t xml:space="preserve">Write content natively in Spanish</t>
  </si>
  <si>
    <t xml:space="preserve">Spanish writer</t>
  </si>
  <si>
    <t xml:space="preserve">Written in Spanish, never translated from English</t>
  </si>
  <si>
    <t xml:space="preserve">4.4</t>
  </si>
  <si>
    <t xml:space="preserve">Tracking number, QA and Search Console setup</t>
  </si>
  <si>
    <t xml:space="preserve">4.5</t>
  </si>
  <si>
    <t xml:space="preserve">Launch Site #2</t>
  </si>
  <si>
    <t xml:space="preserve">4.6</t>
  </si>
  <si>
    <t xml:space="preserve">Log hours spent</t>
  </si>
  <si>
    <t xml:space="preserve">PHASE 5  |  Framework Refinement  |  2 Nov - 6 Nov 2026  |  Owner: Victor + Pavel</t>
  </si>
  <si>
    <t xml:space="preserve">Phase 5</t>
  </si>
  <si>
    <t xml:space="preserve">5.1</t>
  </si>
  <si>
    <t xml:space="preserve">Retro: catalogue everything that was manual across Sites #1 and #2</t>
  </si>
  <si>
    <t xml:space="preserve">5.2</t>
  </si>
  <si>
    <t xml:space="preserve">Fold fixes back into the template, the schema and the scaffold command</t>
  </si>
  <si>
    <t xml:space="preserve">5.3</t>
  </si>
  <si>
    <t xml:space="preserve">Update handoff documentation</t>
  </si>
  <si>
    <t xml:space="preserve">GATE A  |  Repeatability Test, Site #3  |  9 Nov - 13 Nov 2026  |  Owner: Pavel, unassisted</t>
  </si>
  <si>
    <t xml:space="preserve">Gate A</t>
  </si>
  <si>
    <t xml:space="preserve">6.1</t>
  </si>
  <si>
    <t xml:space="preserve">Pavel picks the niche, then generates and launches Site #3 with no help from Victor</t>
  </si>
  <si>
    <t xml:space="preserve">GATE A. Content is prepared beforehand and does not count against factory time</t>
  </si>
  <si>
    <t xml:space="preserve">6.2</t>
  </si>
  <si>
    <t xml:space="preserve">Measure factory time and total elapsed time</t>
  </si>
  <si>
    <t xml:space="preserve">PASS: factory time &lt;=2 working days from approved content + filled config to live QA-passed site, AND zero code by Victor. Elapsed time is informational only</t>
  </si>
  <si>
    <t xml:space="preserve">PHASE 7  |  Provisioning Automation  |  16 Nov - 11 Dec 2026  |  Owner: Victor + Pavel</t>
  </si>
  <si>
    <t xml:space="preserve">Phase 7</t>
  </si>
  <si>
    <t xml:space="preserve">7.1</t>
  </si>
  <si>
    <t xml:space="preserve">Domain registration through the Cloudflare Registrar API</t>
  </si>
  <si>
    <t xml:space="preserve">API is in beta: registration only, no renewals or transfers</t>
  </si>
  <si>
    <t xml:space="preserve">7.2</t>
  </si>
  <si>
    <t xml:space="preserve">Automate zone creation, DNS and custom domain attachment</t>
  </si>
  <si>
    <t xml:space="preserve">7.3</t>
  </si>
  <si>
    <t xml:space="preserve">Automate Search Console property creation and sitemap submission</t>
  </si>
  <si>
    <t xml:space="preserve">7.4</t>
  </si>
  <si>
    <t xml:space="preserve">Automate tracking number provisioning</t>
  </si>
  <si>
    <t xml:space="preserve">7.5</t>
  </si>
  <si>
    <t xml:space="preserve">Single end-to-end command: config in, live site out</t>
  </si>
  <si>
    <t xml:space="preserve">7.6</t>
  </si>
  <si>
    <t xml:space="preserve">Hand automation over to Pavel</t>
  </si>
  <si>
    <t xml:space="preserve">Victor moves to advisory only from here</t>
  </si>
  <si>
    <t xml:space="preserve">PHASE 8  |  SEO Data Window  |  12 Oct 2026 - 26 Feb 2027  |  Runs in parallel. No new sites beyond #3</t>
  </si>
  <si>
    <t xml:space="preserve">Phase 8</t>
  </si>
  <si>
    <t xml:space="preserve">8.1</t>
  </si>
  <si>
    <t xml:space="preserve">Monthly report: impressions, clicks, calls, quotes and sales by site</t>
  </si>
  <si>
    <t xml:space="preserve">New domains need 3-6 months before organic traffic means anything</t>
  </si>
  <si>
    <t xml:space="preserve">8.2</t>
  </si>
  <si>
    <t xml:space="preserve">Kevin reviews monthly against the Gate B criteria</t>
  </si>
  <si>
    <t xml:space="preserve">GATE B  |  Commercial Go / No-Go  |  1 Mar - 5 Mar 2027  |  Owner: Kevin  |  Moved so Site #2 gets its full 120 days</t>
  </si>
  <si>
    <t xml:space="preserve">Gate B</t>
  </si>
  <si>
    <t xml:space="preserve">9.1</t>
  </si>
  <si>
    <t xml:space="preserve">Review 120-day performance of Sites #1 and #2 against the criteria set in 0.7</t>
  </si>
  <si>
    <t xml:space="preserve">GATE B. Site #2 launched 30 Oct, its 120 days land 27 Feb</t>
  </si>
  <si>
    <t xml:space="preserve">9.2</t>
  </si>
  <si>
    <t xml:space="preserve">Decision: scale to 20, iterate on niche selection, or stop</t>
  </si>
  <si>
    <t xml:space="preserve">Pass: proceed to Phase 10. Fail: revisit niches or the microsite model itself</t>
  </si>
  <si>
    <t xml:space="preserve">PHASE 10  |  Scale to First 20 Sites  |  from 8 Mar 2027  |  Conditional on Gate B</t>
  </si>
  <si>
    <t xml:space="preserve">Phase 10</t>
  </si>
  <si>
    <t xml:space="preserve">10.1</t>
  </si>
  <si>
    <t xml:space="preserve">Build out sites #4 through #20 using the automated pipeline</t>
  </si>
  <si>
    <t xml:space="preserve">Only proceeds if Gate B passes. Dates are indicative</t>
  </si>
  <si>
    <t xml:space="preserve">Decision Gates</t>
  </si>
  <si>
    <t xml:space="preserve">The plan advances on evidence, not on elapsed time. Neither gate is a formality.</t>
  </si>
  <si>
    <t xml:space="preserve">Gate</t>
  </si>
  <si>
    <t xml:space="preserve">Question it answers</t>
  </si>
  <si>
    <t xml:space="preserve">Date</t>
  </si>
  <si>
    <t xml:space="preserve">Pass criterion</t>
  </si>
  <si>
    <t xml:space="preserve">If it fails</t>
  </si>
  <si>
    <t xml:space="preserve">Gate A
Technical</t>
  </si>
  <si>
    <t xml:space="preserve">Does the factory work?</t>
  </si>
  <si>
    <t xml:space="preserve">Site #3 is generated from a config file and launches in 5 working days or fewer, with zero code written by Victor.</t>
  </si>
  <si>
    <t xml:space="preserve">Return to Phase 5. The framework is not repeatable yet, and building more sites would just multiply the manual work.</t>
  </si>
  <si>
    <t xml:space="preserve">Gate B
Commercial</t>
  </si>
  <si>
    <t xml:space="preserve">Do the sites produce business?</t>
  </si>
  <si>
    <t xml:space="preserve">Sites #1 and #2 hit the qualified-call target defined in activity 0.7, measured 120 days after each launch.</t>
  </si>
  <si>
    <t xml:space="preserve">Do not scale to 20. Either the niche selection is wrong and we retest, or the microsite model is not working for this market and we reconsider it.</t>
  </si>
  <si>
    <t xml:space="preserve">Why two gates and not one</t>
  </si>
  <si>
    <t xml:space="preserve">They answer different questions and they resolve on different timelines. Site #3 launching quickly proves the factory works, and we know that within weeks. Whether the sites produce calls depends on organic traffic, and a new domain needs three to six months before that means anything. Collapsing both into one milestone is how a team ends up with twenty sites that deploy beautifully and generate nothing. Phases 7 and 8 run in parallel precisely so the waiting period stays productive.</t>
  </si>
  <si>
    <t xml:space="preserve">How to use this schedule</t>
  </si>
  <si>
    <t xml:space="preserve">Item</t>
  </si>
  <si>
    <t xml:space="preserve">Detail</t>
  </si>
  <si>
    <t xml:space="preserve">Which cells to update</t>
  </si>
  <si>
    <t xml:space="preserve">Only the Status column on the Schedule tab, shaded pale yellow. If dates move, update Start and End and the Work Days column recalculates itself.</t>
  </si>
  <si>
    <t xml:space="preserve">Status values</t>
  </si>
  <si>
    <t xml:space="preserve">Not started  |  In progress  |  Blocked  |  Done</t>
  </si>
  <si>
    <t xml:space="preserve">Work Days column</t>
  </si>
  <si>
    <t xml:space="preserve">Formula: NETWORKDAYS(Start, End). Counts weekdays only and does not account for public holidays.</t>
  </si>
  <si>
    <t xml:space="preserve">Owner: Kevin</t>
  </si>
  <si>
    <t xml:space="preserve">Business direction, niche and market selection, domain approval, budget, and the Gate B decision.</t>
  </si>
  <si>
    <t xml:space="preserve">Owner: Victor</t>
  </si>
  <si>
    <t xml:space="preserve">Infrastructure and framework architecture through Phase 2, provisioning automation in Phase 7, advisory thereafter.</t>
  </si>
  <si>
    <t xml:space="preserve">Owner: Pavel</t>
  </si>
  <si>
    <t xml:space="preserve">Owns every site from Phase 3 onward: generation, SEO, QA, launch and reporting.</t>
  </si>
  <si>
    <t xml:space="preserve">Owner: Content owner</t>
  </si>
  <si>
    <t xml:space="preserve">Unassigned as of 24 Aug 2026. Activity 0.4 exists to close this. It is the largest cost line in the project.</t>
  </si>
  <si>
    <t xml:space="preserve">Assumption: SEO timeline</t>
  </si>
  <si>
    <t xml:space="preserve">New domains typically need three to six months to show meaningful organic traffic. Gate B is set 120 days after Site #1 launches.</t>
  </si>
  <si>
    <t xml:space="preserve">Assumption: Cloudflare</t>
  </si>
  <si>
    <t xml:space="preserve">Workers with Static Assets, not Pages. About $5 per month for the whole account regardless of site count.</t>
  </si>
  <si>
    <t xml:space="preserve">Assumption: domains</t>
  </si>
  <si>
    <t xml:space="preserve">Cloudflare Registrar at cost. A .com is about $11.15 per year from 1 Nov 2026, rising roughly 7 percent annually through 2029.</t>
  </si>
  <si>
    <t xml:space="preserve">Assumption: tracking numbers</t>
  </si>
  <si>
    <t xml:space="preserve">Not yet costed. Activity 0.3 exists to close this. The spread between options is $1,900 versus $6,000 to $18,000 per year at 100 numbers.</t>
  </si>
  <si>
    <t xml:space="preserve">Assumption: Phase 10 dates</t>
  </si>
  <si>
    <t xml:space="preserve">Indicative only. Nothing in Phase 10 begins unless Gate B passes.</t>
  </si>
  <si>
    <t xml:space="preserve">Phase 2 blocks</t>
  </si>
  <si>
    <t xml:space="preserve">Block A is gated by the 18 Sep handoff: schema, template, bilingual routing, generator, handoff. Block B is gated by the 9 Oct launch and is built during Phase 3. The CI differentiation gate must exist before the first content publishes, early October.</t>
  </si>
  <si>
    <t xml:space="preserve">Gate B date</t>
  </si>
  <si>
    <t xml:space="preserve">Moved from 12 Feb to 1-5 Mar 2027. Site #2 launches 30 Oct and its 120 days land 27 Feb, after the original gate date.</t>
  </si>
  <si>
    <t xml:space="preserve">Rule: AI and content</t>
  </si>
  <si>
    <t xml:space="preserve">Drafting with AI is allowed. Publishing without a human editing pass is not. Spanish is written from scratch by a fluent writer, never translated or generated from an English brief.</t>
  </si>
  <si>
    <t xml:space="preserve">Standing content rule</t>
  </si>
  <si>
    <t xml:space="preserve">Swap the city name on any page. If nothing else has to change, that page is a doorway page by Google's definition and does not ship. Activity 2.8 enforces this automatically in CI.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</si>
</sst>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\-mmm\-yy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2E5C9A"/>
        <bgColor rgb="FF333399"/>
      </patternFill>
    </fill>
    <fill>
      <patternFill patternType="solid">
        <fgColor rgb="FFDCE6F1"/>
        <bgColor rgb="FFCCFFFF"/>
      </patternFill>
    </fill>
    <fill>
      <patternFill patternType="solid">
        <fgColor rgb="FFFFFFCC"/>
        <bgColor rgb="FFFFF2CC"/>
      </patternFill>
    </fill>
    <fill>
      <patternFill patternType="solid">
        <fgColor rgb="FFFFF2CC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E5C9A"/>
          <bgColor rgb="FF000000"/>
        </patternFill>
      </fill>
    </dxf>
    <dxf>
      <fill>
        <patternFill patternType="solid">
          <fgColor rgb="FFDCE6F1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E6F1"/>
      <rgbColor rgb="FF660066"/>
      <rgbColor rgb="FFFF8080"/>
      <rgbColor rgb="FF2E5C9A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7"/>
    <col collapsed="false" customWidth="true" hidden="false" outlineLevel="0" max="3" min="3" style="0" width="62"/>
    <col collapsed="false" customWidth="true" hidden="false" outlineLevel="0" max="4" min="4" style="0" width="15"/>
    <col collapsed="false" customWidth="true" hidden="false" outlineLevel="0" max="6" min="5" style="0" width="11"/>
    <col collapsed="false" customWidth="true" hidden="false" outlineLevel="0" max="7" min="7" style="0" width="10"/>
    <col collapsed="false" customWidth="true" hidden="false" outlineLevel="0" max="8" min="8" style="0" width="13"/>
    <col collapsed="false" customWidth="true" hidden="false" outlineLevel="0" max="9" min="9" style="0" width="46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5" customFormat="false" ht="25.5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</row>
    <row r="6" customFormat="false" ht="19.5" hidden="false" customHeight="true" outlineLevel="0" collapsed="false">
      <c r="A6" s="5" t="s">
        <v>12</v>
      </c>
      <c r="B6" s="5"/>
      <c r="C6" s="5"/>
      <c r="D6" s="5"/>
      <c r="E6" s="5"/>
      <c r="F6" s="5"/>
      <c r="G6" s="5"/>
      <c r="H6" s="5"/>
      <c r="I6" s="5"/>
    </row>
    <row r="7" customFormat="false" ht="15" hidden="false" customHeight="false" outlineLevel="0" collapsed="false">
      <c r="A7" s="6" t="s">
        <v>13</v>
      </c>
      <c r="B7" s="7" t="s">
        <v>14</v>
      </c>
      <c r="C7" s="8" t="s">
        <v>15</v>
      </c>
      <c r="D7" s="6" t="s">
        <v>16</v>
      </c>
      <c r="E7" s="9" t="n">
        <v>46258</v>
      </c>
      <c r="F7" s="9" t="n">
        <v>46260</v>
      </c>
      <c r="G7" s="7" t="n">
        <f aca="false">NETWORKDAYS(E7,F7)</f>
        <v>3</v>
      </c>
      <c r="H7" s="10" t="s">
        <v>17</v>
      </c>
      <c r="I7" s="8"/>
    </row>
    <row r="8" customFormat="false" ht="23.85" hidden="false" customHeight="false" outlineLevel="0" collapsed="false">
      <c r="A8" s="6" t="s">
        <v>13</v>
      </c>
      <c r="B8" s="7" t="s">
        <v>18</v>
      </c>
      <c r="C8" s="8" t="s">
        <v>19</v>
      </c>
      <c r="D8" s="6" t="s">
        <v>20</v>
      </c>
      <c r="E8" s="9" t="n">
        <v>46258</v>
      </c>
      <c r="F8" s="9" t="n">
        <v>46260</v>
      </c>
      <c r="G8" s="7" t="n">
        <f aca="false">NETWORKDAYS(E8,F8)</f>
        <v>3</v>
      </c>
      <c r="H8" s="10" t="s">
        <v>17</v>
      </c>
      <c r="I8" s="8"/>
    </row>
    <row r="9" customFormat="false" ht="23.85" hidden="false" customHeight="false" outlineLevel="0" collapsed="false">
      <c r="A9" s="6" t="s">
        <v>13</v>
      </c>
      <c r="B9" s="7" t="s">
        <v>21</v>
      </c>
      <c r="C9" s="8" t="s">
        <v>22</v>
      </c>
      <c r="D9" s="6" t="s">
        <v>20</v>
      </c>
      <c r="E9" s="9" t="n">
        <v>46258</v>
      </c>
      <c r="F9" s="9" t="n">
        <v>46262</v>
      </c>
      <c r="G9" s="7" t="n">
        <f aca="false">NETWORKDAYS(E9,F9)</f>
        <v>5</v>
      </c>
      <c r="H9" s="10" t="s">
        <v>17</v>
      </c>
      <c r="I9" s="8" t="s">
        <v>23</v>
      </c>
    </row>
    <row r="10" customFormat="false" ht="15" hidden="false" customHeight="false" outlineLevel="0" collapsed="false">
      <c r="A10" s="6" t="s">
        <v>13</v>
      </c>
      <c r="B10" s="7" t="s">
        <v>24</v>
      </c>
      <c r="C10" s="8" t="s">
        <v>25</v>
      </c>
      <c r="D10" s="6" t="s">
        <v>20</v>
      </c>
      <c r="E10" s="9" t="n">
        <v>46258</v>
      </c>
      <c r="F10" s="9" t="n">
        <v>46262</v>
      </c>
      <c r="G10" s="7" t="n">
        <f aca="false">NETWORKDAYS(E10,F10)</f>
        <v>5</v>
      </c>
      <c r="H10" s="10" t="s">
        <v>17</v>
      </c>
      <c r="I10" s="8" t="s">
        <v>26</v>
      </c>
    </row>
    <row r="11" customFormat="false" ht="15" hidden="false" customHeight="false" outlineLevel="0" collapsed="false">
      <c r="A11" s="6" t="s">
        <v>13</v>
      </c>
      <c r="B11" s="7" t="s">
        <v>27</v>
      </c>
      <c r="C11" s="8" t="s">
        <v>28</v>
      </c>
      <c r="D11" s="6" t="s">
        <v>20</v>
      </c>
      <c r="E11" s="9" t="n">
        <v>46258</v>
      </c>
      <c r="F11" s="9" t="n">
        <v>46262</v>
      </c>
      <c r="G11" s="7" t="n">
        <f aca="false">NETWORKDAYS(E11,F11)</f>
        <v>5</v>
      </c>
      <c r="H11" s="10" t="s">
        <v>17</v>
      </c>
      <c r="I11" s="8"/>
    </row>
    <row r="12" customFormat="false" ht="15" hidden="false" customHeight="false" outlineLevel="0" collapsed="false">
      <c r="A12" s="6" t="s">
        <v>13</v>
      </c>
      <c r="B12" s="7" t="s">
        <v>29</v>
      </c>
      <c r="C12" s="8" t="s">
        <v>30</v>
      </c>
      <c r="D12" s="6" t="s">
        <v>20</v>
      </c>
      <c r="E12" s="9" t="n">
        <v>46258</v>
      </c>
      <c r="F12" s="9" t="n">
        <v>46262</v>
      </c>
      <c r="G12" s="7" t="n">
        <f aca="false">NETWORKDAYS(E12,F12)</f>
        <v>5</v>
      </c>
      <c r="H12" s="10" t="s">
        <v>17</v>
      </c>
      <c r="I12" s="8"/>
    </row>
    <row r="13" customFormat="false" ht="15" hidden="false" customHeight="false" outlineLevel="0" collapsed="false">
      <c r="A13" s="6" t="s">
        <v>13</v>
      </c>
      <c r="B13" s="7" t="s">
        <v>31</v>
      </c>
      <c r="C13" s="8" t="s">
        <v>32</v>
      </c>
      <c r="D13" s="6" t="s">
        <v>33</v>
      </c>
      <c r="E13" s="9" t="n">
        <v>46258</v>
      </c>
      <c r="F13" s="9" t="n">
        <v>46262</v>
      </c>
      <c r="G13" s="7" t="n">
        <f aca="false">NETWORKDAYS(E13,F13)</f>
        <v>5</v>
      </c>
      <c r="H13" s="10" t="s">
        <v>17</v>
      </c>
      <c r="I13" s="8" t="s">
        <v>34</v>
      </c>
    </row>
    <row r="14" customFormat="false" ht="15" hidden="false" customHeight="false" outlineLevel="0" collapsed="false">
      <c r="A14" s="6" t="s">
        <v>13</v>
      </c>
      <c r="B14" s="7" t="s">
        <v>35</v>
      </c>
      <c r="C14" s="8" t="s">
        <v>36</v>
      </c>
      <c r="D14" s="6" t="s">
        <v>20</v>
      </c>
      <c r="E14" s="9" t="n">
        <v>46258</v>
      </c>
      <c r="F14" s="9" t="n">
        <v>46262</v>
      </c>
      <c r="G14" s="7" t="n">
        <f aca="false">NETWORKDAYS(E14,F14)</f>
        <v>5</v>
      </c>
      <c r="H14" s="10" t="s">
        <v>17</v>
      </c>
      <c r="I14" s="8" t="s">
        <v>37</v>
      </c>
    </row>
    <row r="15" customFormat="false" ht="23.85" hidden="false" customHeight="false" outlineLevel="0" collapsed="false">
      <c r="A15" s="6" t="s">
        <v>13</v>
      </c>
      <c r="B15" s="7" t="s">
        <v>38</v>
      </c>
      <c r="C15" s="8" t="s">
        <v>39</v>
      </c>
      <c r="D15" s="6" t="s">
        <v>40</v>
      </c>
      <c r="E15" s="9" t="n">
        <v>46258</v>
      </c>
      <c r="F15" s="9" t="n">
        <v>46262</v>
      </c>
      <c r="G15" s="7" t="n">
        <f aca="false">NETWORKDAYS(E15,F15)</f>
        <v>5</v>
      </c>
      <c r="H15" s="10" t="s">
        <v>17</v>
      </c>
      <c r="I15" s="8" t="s">
        <v>41</v>
      </c>
    </row>
    <row r="16" customFormat="false" ht="23.85" hidden="false" customHeight="false" outlineLevel="0" collapsed="false">
      <c r="A16" s="6" t="s">
        <v>13</v>
      </c>
      <c r="B16" s="7" t="s">
        <v>42</v>
      </c>
      <c r="C16" s="8" t="s">
        <v>43</v>
      </c>
      <c r="D16" s="6" t="s">
        <v>20</v>
      </c>
      <c r="E16" s="9" t="n">
        <v>46260</v>
      </c>
      <c r="F16" s="9" t="n">
        <v>46269</v>
      </c>
      <c r="G16" s="7" t="n">
        <f aca="false">NETWORKDAYS(E16,F16)</f>
        <v>8</v>
      </c>
      <c r="H16" s="10" t="s">
        <v>17</v>
      </c>
      <c r="I16" s="8" t="s">
        <v>44</v>
      </c>
    </row>
    <row r="17" customFormat="false" ht="23.85" hidden="false" customHeight="false" outlineLevel="0" collapsed="false">
      <c r="A17" s="6" t="s">
        <v>13</v>
      </c>
      <c r="B17" s="7" t="s">
        <v>45</v>
      </c>
      <c r="C17" s="8" t="s">
        <v>46</v>
      </c>
      <c r="D17" s="6" t="s">
        <v>20</v>
      </c>
      <c r="E17" s="9" t="n">
        <v>46258</v>
      </c>
      <c r="F17" s="9" t="n">
        <v>46269</v>
      </c>
      <c r="G17" s="7" t="n">
        <f aca="false">NETWORKDAYS(E17,F17)</f>
        <v>10</v>
      </c>
      <c r="H17" s="10" t="s">
        <v>17</v>
      </c>
      <c r="I17" s="8" t="s">
        <v>47</v>
      </c>
    </row>
    <row r="18" customFormat="false" ht="19.5" hidden="false" customHeight="true" outlineLevel="0" collapsed="false">
      <c r="A18" s="5" t="s">
        <v>48</v>
      </c>
      <c r="B18" s="5"/>
      <c r="C18" s="5"/>
      <c r="D18" s="5"/>
      <c r="E18" s="5"/>
      <c r="F18" s="5"/>
      <c r="G18" s="5"/>
      <c r="H18" s="5"/>
      <c r="I18" s="5"/>
    </row>
    <row r="19" customFormat="false" ht="23.85" hidden="false" customHeight="false" outlineLevel="0" collapsed="false">
      <c r="A19" s="6" t="s">
        <v>49</v>
      </c>
      <c r="B19" s="7" t="s">
        <v>50</v>
      </c>
      <c r="C19" s="8" t="s">
        <v>51</v>
      </c>
      <c r="D19" s="6" t="s">
        <v>52</v>
      </c>
      <c r="E19" s="9" t="n">
        <v>46265</v>
      </c>
      <c r="F19" s="9" t="n">
        <v>46265</v>
      </c>
      <c r="G19" s="7" t="n">
        <f aca="false">NETWORKDAYS(E19,F19)</f>
        <v>1</v>
      </c>
      <c r="H19" s="10" t="s">
        <v>17</v>
      </c>
      <c r="I19" s="8" t="s">
        <v>53</v>
      </c>
    </row>
    <row r="20" customFormat="false" ht="15" hidden="false" customHeight="false" outlineLevel="0" collapsed="false">
      <c r="A20" s="6" t="s">
        <v>49</v>
      </c>
      <c r="B20" s="7" t="s">
        <v>54</v>
      </c>
      <c r="C20" s="8" t="s">
        <v>55</v>
      </c>
      <c r="D20" s="6" t="s">
        <v>52</v>
      </c>
      <c r="E20" s="9" t="n">
        <v>46265</v>
      </c>
      <c r="F20" s="9" t="n">
        <v>46265</v>
      </c>
      <c r="G20" s="7" t="n">
        <f aca="false">NETWORKDAYS(E20,F20)</f>
        <v>1</v>
      </c>
      <c r="H20" s="10" t="s">
        <v>17</v>
      </c>
      <c r="I20" s="8"/>
    </row>
    <row r="21" customFormat="false" ht="15" hidden="false" customHeight="false" outlineLevel="0" collapsed="false">
      <c r="A21" s="6" t="s">
        <v>49</v>
      </c>
      <c r="B21" s="7" t="s">
        <v>56</v>
      </c>
      <c r="C21" s="8" t="s">
        <v>57</v>
      </c>
      <c r="D21" s="6" t="s">
        <v>52</v>
      </c>
      <c r="E21" s="9" t="n">
        <v>46265</v>
      </c>
      <c r="F21" s="9" t="n">
        <v>46265</v>
      </c>
      <c r="G21" s="7" t="n">
        <f aca="false">NETWORKDAYS(E21,F21)</f>
        <v>1</v>
      </c>
      <c r="H21" s="10" t="s">
        <v>17</v>
      </c>
      <c r="I21" s="8"/>
    </row>
    <row r="22" customFormat="false" ht="15" hidden="false" customHeight="false" outlineLevel="0" collapsed="false">
      <c r="A22" s="6" t="s">
        <v>49</v>
      </c>
      <c r="B22" s="7" t="s">
        <v>58</v>
      </c>
      <c r="C22" s="8" t="s">
        <v>59</v>
      </c>
      <c r="D22" s="6" t="s">
        <v>52</v>
      </c>
      <c r="E22" s="9" t="n">
        <v>46265</v>
      </c>
      <c r="F22" s="9" t="n">
        <v>46266</v>
      </c>
      <c r="G22" s="7" t="n">
        <f aca="false">NETWORKDAYS(E22,F22)</f>
        <v>2</v>
      </c>
      <c r="H22" s="10" t="s">
        <v>17</v>
      </c>
      <c r="I22" s="8"/>
    </row>
    <row r="23" customFormat="false" ht="35.05" hidden="false" customHeight="false" outlineLevel="0" collapsed="false">
      <c r="A23" s="6" t="s">
        <v>49</v>
      </c>
      <c r="B23" s="7" t="s">
        <v>60</v>
      </c>
      <c r="C23" s="8" t="s">
        <v>61</v>
      </c>
      <c r="D23" s="6" t="s">
        <v>40</v>
      </c>
      <c r="E23" s="9" t="n">
        <v>46265</v>
      </c>
      <c r="F23" s="9" t="n">
        <v>46269</v>
      </c>
      <c r="G23" s="7" t="n">
        <f aca="false">NETWORKDAYS(E23,F23)</f>
        <v>5</v>
      </c>
      <c r="H23" s="10" t="s">
        <v>17</v>
      </c>
      <c r="I23" s="8" t="s">
        <v>62</v>
      </c>
    </row>
    <row r="24" customFormat="false" ht="23.85" hidden="false" customHeight="false" outlineLevel="0" collapsed="false">
      <c r="A24" s="6" t="s">
        <v>49</v>
      </c>
      <c r="B24" s="7" t="s">
        <v>63</v>
      </c>
      <c r="C24" s="8" t="s">
        <v>64</v>
      </c>
      <c r="D24" s="6" t="s">
        <v>52</v>
      </c>
      <c r="E24" s="9" t="n">
        <v>46267</v>
      </c>
      <c r="F24" s="9" t="n">
        <v>46268</v>
      </c>
      <c r="G24" s="7" t="n">
        <f aca="false">NETWORKDAYS(E24,F24)</f>
        <v>2</v>
      </c>
      <c r="H24" s="10" t="s">
        <v>17</v>
      </c>
      <c r="I24" s="8" t="s">
        <v>65</v>
      </c>
    </row>
    <row r="25" customFormat="false" ht="15" hidden="false" customHeight="false" outlineLevel="0" collapsed="false">
      <c r="A25" s="6" t="s">
        <v>49</v>
      </c>
      <c r="B25" s="7" t="s">
        <v>66</v>
      </c>
      <c r="C25" s="8" t="s">
        <v>67</v>
      </c>
      <c r="D25" s="6" t="s">
        <v>52</v>
      </c>
      <c r="E25" s="9" t="n">
        <v>46267</v>
      </c>
      <c r="F25" s="9" t="n">
        <v>46269</v>
      </c>
      <c r="G25" s="7" t="n">
        <f aca="false">NETWORKDAYS(E25,F25)</f>
        <v>3</v>
      </c>
      <c r="H25" s="10" t="s">
        <v>17</v>
      </c>
      <c r="I25" s="8"/>
    </row>
    <row r="26" customFormat="false" ht="15" hidden="false" customHeight="false" outlineLevel="0" collapsed="false">
      <c r="A26" s="6" t="s">
        <v>49</v>
      </c>
      <c r="B26" s="7" t="s">
        <v>68</v>
      </c>
      <c r="C26" s="8" t="s">
        <v>69</v>
      </c>
      <c r="D26" s="6" t="s">
        <v>52</v>
      </c>
      <c r="E26" s="9" t="n">
        <v>46268</v>
      </c>
      <c r="F26" s="9" t="n">
        <v>46269</v>
      </c>
      <c r="G26" s="7" t="n">
        <f aca="false">NETWORKDAYS(E26,F26)</f>
        <v>2</v>
      </c>
      <c r="H26" s="10" t="s">
        <v>17</v>
      </c>
      <c r="I26" s="8" t="s">
        <v>70</v>
      </c>
    </row>
    <row r="27" customFormat="false" ht="19.5" hidden="false" customHeight="true" outlineLevel="0" collapsed="false">
      <c r="A27" s="5" t="s">
        <v>71</v>
      </c>
      <c r="B27" s="5"/>
      <c r="C27" s="5"/>
      <c r="D27" s="5"/>
      <c r="E27" s="5"/>
      <c r="F27" s="5"/>
      <c r="G27" s="5"/>
      <c r="H27" s="5"/>
      <c r="I27" s="5"/>
    </row>
    <row r="28" customFormat="false" ht="23.85" hidden="false" customHeight="false" outlineLevel="0" collapsed="false">
      <c r="A28" s="6" t="s">
        <v>72</v>
      </c>
      <c r="B28" s="7" t="s">
        <v>73</v>
      </c>
      <c r="C28" s="8" t="s">
        <v>74</v>
      </c>
      <c r="D28" s="6" t="s">
        <v>20</v>
      </c>
      <c r="E28" s="9" t="n">
        <v>46272</v>
      </c>
      <c r="F28" s="9" t="n">
        <v>46272</v>
      </c>
      <c r="G28" s="7" t="n">
        <f aca="false">NETWORKDAYS(E28,F28)</f>
        <v>1</v>
      </c>
      <c r="H28" s="10" t="s">
        <v>17</v>
      </c>
      <c r="I28" s="8" t="s">
        <v>75</v>
      </c>
    </row>
    <row r="29" customFormat="false" ht="15" hidden="false" customHeight="false" outlineLevel="0" collapsed="false">
      <c r="A29" s="6" t="s">
        <v>72</v>
      </c>
      <c r="B29" s="7" t="s">
        <v>76</v>
      </c>
      <c r="C29" s="8" t="s">
        <v>77</v>
      </c>
      <c r="D29" s="6" t="s">
        <v>52</v>
      </c>
      <c r="E29" s="9" t="n">
        <v>46273</v>
      </c>
      <c r="F29" s="9" t="n">
        <v>46273</v>
      </c>
      <c r="G29" s="7" t="n">
        <f aca="false">NETWORKDAYS(E29,F29)</f>
        <v>1</v>
      </c>
      <c r="H29" s="10" t="s">
        <v>17</v>
      </c>
      <c r="I29" s="8" t="s">
        <v>78</v>
      </c>
    </row>
    <row r="30" customFormat="false" ht="23.85" hidden="false" customHeight="false" outlineLevel="0" collapsed="false">
      <c r="A30" s="6" t="s">
        <v>72</v>
      </c>
      <c r="B30" s="7" t="s">
        <v>79</v>
      </c>
      <c r="C30" s="8" t="s">
        <v>80</v>
      </c>
      <c r="D30" s="6" t="s">
        <v>52</v>
      </c>
      <c r="E30" s="9" t="n">
        <v>46273</v>
      </c>
      <c r="F30" s="9" t="n">
        <v>46273</v>
      </c>
      <c r="G30" s="7" t="n">
        <f aca="false">NETWORKDAYS(E30,F30)</f>
        <v>1</v>
      </c>
      <c r="H30" s="10" t="s">
        <v>17</v>
      </c>
      <c r="I30" s="8" t="s">
        <v>81</v>
      </c>
    </row>
    <row r="31" customFormat="false" ht="19.5" hidden="false" customHeight="true" outlineLevel="0" collapsed="false">
      <c r="A31" s="5" t="s">
        <v>82</v>
      </c>
      <c r="B31" s="5"/>
      <c r="C31" s="5"/>
      <c r="D31" s="5"/>
      <c r="E31" s="5"/>
      <c r="F31" s="5"/>
      <c r="G31" s="5"/>
      <c r="H31" s="5"/>
      <c r="I31" s="5"/>
    </row>
    <row r="32" customFormat="false" ht="23.85" hidden="false" customHeight="false" outlineLevel="0" collapsed="false">
      <c r="A32" s="6" t="s">
        <v>83</v>
      </c>
      <c r="B32" s="7" t="s">
        <v>84</v>
      </c>
      <c r="C32" s="8" t="s">
        <v>85</v>
      </c>
      <c r="D32" s="6" t="s">
        <v>40</v>
      </c>
      <c r="E32" s="9" t="n">
        <v>46265</v>
      </c>
      <c r="F32" s="9" t="n">
        <v>46276</v>
      </c>
      <c r="G32" s="7" t="n">
        <f aca="false">NETWORKDAYS(E32,F32)</f>
        <v>10</v>
      </c>
      <c r="H32" s="10" t="s">
        <v>17</v>
      </c>
      <c r="I32" s="8" t="s">
        <v>86</v>
      </c>
    </row>
    <row r="33" customFormat="false" ht="23.85" hidden="false" customHeight="false" outlineLevel="0" collapsed="false">
      <c r="A33" s="6" t="s">
        <v>83</v>
      </c>
      <c r="B33" s="7" t="s">
        <v>87</v>
      </c>
      <c r="C33" s="8" t="s">
        <v>88</v>
      </c>
      <c r="D33" s="6" t="s">
        <v>40</v>
      </c>
      <c r="E33" s="9" t="n">
        <v>46272</v>
      </c>
      <c r="F33" s="9" t="n">
        <v>46283</v>
      </c>
      <c r="G33" s="7" t="n">
        <f aca="false">NETWORKDAYS(E33,F33)</f>
        <v>10</v>
      </c>
      <c r="H33" s="10" t="s">
        <v>17</v>
      </c>
      <c r="I33" s="8" t="s">
        <v>89</v>
      </c>
    </row>
    <row r="34" customFormat="false" ht="15" hidden="false" customHeight="false" outlineLevel="0" collapsed="false">
      <c r="A34" s="6" t="s">
        <v>83</v>
      </c>
      <c r="B34" s="7" t="s">
        <v>90</v>
      </c>
      <c r="C34" s="8" t="s">
        <v>91</v>
      </c>
      <c r="D34" s="6" t="s">
        <v>40</v>
      </c>
      <c r="E34" s="9" t="n">
        <v>46272</v>
      </c>
      <c r="F34" s="9" t="n">
        <v>46283</v>
      </c>
      <c r="G34" s="7" t="n">
        <f aca="false">NETWORKDAYS(E34,F34)</f>
        <v>10</v>
      </c>
      <c r="H34" s="10" t="s">
        <v>17</v>
      </c>
      <c r="I34" s="8" t="s">
        <v>89</v>
      </c>
    </row>
    <row r="35" customFormat="false" ht="35.05" hidden="false" customHeight="false" outlineLevel="0" collapsed="false">
      <c r="A35" s="6" t="s">
        <v>83</v>
      </c>
      <c r="B35" s="7" t="s">
        <v>92</v>
      </c>
      <c r="C35" s="8" t="s">
        <v>93</v>
      </c>
      <c r="D35" s="6" t="s">
        <v>40</v>
      </c>
      <c r="E35" s="9" t="n">
        <v>46273</v>
      </c>
      <c r="F35" s="9" t="n">
        <v>46283</v>
      </c>
      <c r="G35" s="7" t="n">
        <f aca="false">NETWORKDAYS(E35,F35)</f>
        <v>9</v>
      </c>
      <c r="H35" s="10" t="s">
        <v>17</v>
      </c>
      <c r="I35" s="8" t="s">
        <v>94</v>
      </c>
    </row>
    <row r="36" customFormat="false" ht="19.5" hidden="false" customHeight="true" outlineLevel="0" collapsed="false">
      <c r="A36" s="5" t="s">
        <v>95</v>
      </c>
      <c r="B36" s="5"/>
      <c r="C36" s="5"/>
      <c r="D36" s="5"/>
      <c r="E36" s="5"/>
      <c r="F36" s="5"/>
      <c r="G36" s="5"/>
      <c r="H36" s="5"/>
      <c r="I36" s="5"/>
    </row>
    <row r="37" customFormat="false" ht="23.85" hidden="false" customHeight="false" outlineLevel="0" collapsed="false">
      <c r="A37" s="6" t="s">
        <v>96</v>
      </c>
      <c r="B37" s="7" t="s">
        <v>97</v>
      </c>
      <c r="C37" s="8" t="s">
        <v>98</v>
      </c>
      <c r="D37" s="6" t="s">
        <v>52</v>
      </c>
      <c r="E37" s="9" t="n">
        <v>46273</v>
      </c>
      <c r="F37" s="9" t="n">
        <v>46275</v>
      </c>
      <c r="G37" s="7" t="n">
        <f aca="false">NETWORKDAYS(E37,F37)</f>
        <v>3</v>
      </c>
      <c r="H37" s="10" t="s">
        <v>17</v>
      </c>
      <c r="I37" s="8" t="s">
        <v>99</v>
      </c>
    </row>
    <row r="38" customFormat="false" ht="15" hidden="false" customHeight="false" outlineLevel="0" collapsed="false">
      <c r="A38" s="6" t="s">
        <v>96</v>
      </c>
      <c r="B38" s="7" t="s">
        <v>100</v>
      </c>
      <c r="C38" s="8" t="s">
        <v>101</v>
      </c>
      <c r="D38" s="6" t="s">
        <v>102</v>
      </c>
      <c r="E38" s="9" t="n">
        <v>46273</v>
      </c>
      <c r="F38" s="9" t="n">
        <v>46279</v>
      </c>
      <c r="G38" s="7" t="n">
        <f aca="false">NETWORKDAYS(E38,F38)</f>
        <v>5</v>
      </c>
      <c r="H38" s="10" t="s">
        <v>17</v>
      </c>
      <c r="I38" s="8"/>
    </row>
    <row r="39" customFormat="false" ht="15" hidden="false" customHeight="false" outlineLevel="0" collapsed="false">
      <c r="A39" s="6" t="s">
        <v>96</v>
      </c>
      <c r="B39" s="7" t="s">
        <v>103</v>
      </c>
      <c r="C39" s="8" t="s">
        <v>104</v>
      </c>
      <c r="D39" s="6" t="s">
        <v>52</v>
      </c>
      <c r="E39" s="9" t="n">
        <v>46275</v>
      </c>
      <c r="F39" s="9" t="n">
        <v>46279</v>
      </c>
      <c r="G39" s="7" t="n">
        <f aca="false">NETWORKDAYS(E39,F39)</f>
        <v>3</v>
      </c>
      <c r="H39" s="10" t="s">
        <v>17</v>
      </c>
      <c r="I39" s="8" t="s">
        <v>105</v>
      </c>
    </row>
    <row r="40" customFormat="false" ht="23.85" hidden="false" customHeight="false" outlineLevel="0" collapsed="false">
      <c r="A40" s="6" t="s">
        <v>106</v>
      </c>
      <c r="B40" s="7" t="s">
        <v>107</v>
      </c>
      <c r="C40" s="8" t="s">
        <v>108</v>
      </c>
      <c r="D40" s="6" t="s">
        <v>52</v>
      </c>
      <c r="E40" s="9" t="n">
        <v>46279</v>
      </c>
      <c r="F40" s="9" t="n">
        <v>46281</v>
      </c>
      <c r="G40" s="7" t="n">
        <f aca="false">NETWORKDAYS(E40,F40)</f>
        <v>3</v>
      </c>
      <c r="H40" s="10" t="s">
        <v>17</v>
      </c>
      <c r="I40" s="8"/>
    </row>
    <row r="41" customFormat="false" ht="15" hidden="false" customHeight="false" outlineLevel="0" collapsed="false">
      <c r="A41" s="6" t="s">
        <v>106</v>
      </c>
      <c r="B41" s="7" t="s">
        <v>109</v>
      </c>
      <c r="C41" s="8" t="s">
        <v>110</v>
      </c>
      <c r="D41" s="6" t="s">
        <v>102</v>
      </c>
      <c r="E41" s="9" t="n">
        <v>46293</v>
      </c>
      <c r="F41" s="9" t="n">
        <v>46297</v>
      </c>
      <c r="G41" s="7" t="n">
        <f aca="false">NETWORKDAYS(E41,F41)</f>
        <v>5</v>
      </c>
      <c r="H41" s="10" t="s">
        <v>17</v>
      </c>
      <c r="I41" s="8" t="s">
        <v>111</v>
      </c>
    </row>
    <row r="42" customFormat="false" ht="23.85" hidden="false" customHeight="false" outlineLevel="0" collapsed="false">
      <c r="A42" s="6" t="s">
        <v>106</v>
      </c>
      <c r="B42" s="7" t="s">
        <v>112</v>
      </c>
      <c r="C42" s="8" t="s">
        <v>113</v>
      </c>
      <c r="D42" s="6" t="s">
        <v>52</v>
      </c>
      <c r="E42" s="9" t="n">
        <v>46280</v>
      </c>
      <c r="F42" s="9" t="n">
        <v>46281</v>
      </c>
      <c r="G42" s="7" t="n">
        <f aca="false">NETWORKDAYS(E42,F42)</f>
        <v>2</v>
      </c>
      <c r="H42" s="10" t="s">
        <v>17</v>
      </c>
      <c r="I42" s="8" t="s">
        <v>114</v>
      </c>
    </row>
    <row r="43" customFormat="false" ht="35.05" hidden="false" customHeight="false" outlineLevel="0" collapsed="false">
      <c r="A43" s="6" t="s">
        <v>96</v>
      </c>
      <c r="B43" s="7" t="s">
        <v>115</v>
      </c>
      <c r="C43" s="8" t="s">
        <v>116</v>
      </c>
      <c r="D43" s="6" t="s">
        <v>52</v>
      </c>
      <c r="E43" s="9" t="n">
        <v>46280</v>
      </c>
      <c r="F43" s="9" t="n">
        <v>46282</v>
      </c>
      <c r="G43" s="7" t="n">
        <f aca="false">NETWORKDAYS(E43,F43)</f>
        <v>3</v>
      </c>
      <c r="H43" s="10" t="s">
        <v>17</v>
      </c>
      <c r="I43" s="8" t="s">
        <v>117</v>
      </c>
    </row>
    <row r="44" customFormat="false" ht="23.85" hidden="false" customHeight="false" outlineLevel="0" collapsed="false">
      <c r="A44" s="6" t="s">
        <v>106</v>
      </c>
      <c r="B44" s="7" t="s">
        <v>118</v>
      </c>
      <c r="C44" s="8" t="s">
        <v>119</v>
      </c>
      <c r="D44" s="6" t="s">
        <v>52</v>
      </c>
      <c r="E44" s="9" t="n">
        <v>46281</v>
      </c>
      <c r="F44" s="9" t="n">
        <v>46282</v>
      </c>
      <c r="G44" s="7" t="n">
        <f aca="false">NETWORKDAYS(E44,F44)</f>
        <v>2</v>
      </c>
      <c r="H44" s="10" t="s">
        <v>17</v>
      </c>
      <c r="I44" s="8" t="s">
        <v>120</v>
      </c>
    </row>
    <row r="45" customFormat="false" ht="23.85" hidden="false" customHeight="false" outlineLevel="0" collapsed="false">
      <c r="A45" s="6" t="s">
        <v>106</v>
      </c>
      <c r="B45" s="7" t="s">
        <v>121</v>
      </c>
      <c r="C45" s="8" t="s">
        <v>122</v>
      </c>
      <c r="D45" s="6" t="s">
        <v>123</v>
      </c>
      <c r="E45" s="9" t="n">
        <v>46280</v>
      </c>
      <c r="F45" s="9" t="n">
        <v>46283</v>
      </c>
      <c r="G45" s="7" t="n">
        <f aca="false">NETWORKDAYS(E45,F45)</f>
        <v>4</v>
      </c>
      <c r="H45" s="10" t="s">
        <v>17</v>
      </c>
      <c r="I45" s="8" t="s">
        <v>124</v>
      </c>
    </row>
    <row r="46" customFormat="false" ht="15" hidden="false" customHeight="false" outlineLevel="0" collapsed="false">
      <c r="A46" s="6" t="s">
        <v>96</v>
      </c>
      <c r="B46" s="7" t="s">
        <v>125</v>
      </c>
      <c r="C46" s="8" t="s">
        <v>126</v>
      </c>
      <c r="D46" s="6" t="s">
        <v>102</v>
      </c>
      <c r="E46" s="9" t="n">
        <v>46283</v>
      </c>
      <c r="F46" s="9" t="n">
        <v>46283</v>
      </c>
      <c r="G46" s="7" t="n">
        <f aca="false">NETWORKDAYS(E46,F46)</f>
        <v>1</v>
      </c>
      <c r="H46" s="10" t="s">
        <v>17</v>
      </c>
      <c r="I46" s="8" t="s">
        <v>127</v>
      </c>
    </row>
    <row r="47" customFormat="false" ht="19.5" hidden="false" customHeight="true" outlineLevel="0" collapsed="false">
      <c r="A47" s="5" t="s">
        <v>128</v>
      </c>
      <c r="B47" s="5"/>
      <c r="C47" s="5"/>
      <c r="D47" s="5"/>
      <c r="E47" s="5"/>
      <c r="F47" s="5"/>
      <c r="G47" s="5"/>
      <c r="H47" s="5"/>
      <c r="I47" s="5"/>
    </row>
    <row r="48" customFormat="false" ht="23.85" hidden="false" customHeight="false" outlineLevel="0" collapsed="false">
      <c r="A48" s="6" t="s">
        <v>129</v>
      </c>
      <c r="B48" s="7" t="s">
        <v>130</v>
      </c>
      <c r="C48" s="8" t="s">
        <v>131</v>
      </c>
      <c r="D48" s="6" t="s">
        <v>40</v>
      </c>
      <c r="E48" s="9" t="n">
        <v>46286</v>
      </c>
      <c r="F48" s="9" t="n">
        <v>46286</v>
      </c>
      <c r="G48" s="7" t="n">
        <f aca="false">NETWORKDAYS(E48,F48)</f>
        <v>1</v>
      </c>
      <c r="H48" s="10" t="s">
        <v>17</v>
      </c>
      <c r="I48" s="8" t="s">
        <v>132</v>
      </c>
    </row>
    <row r="49" customFormat="false" ht="15" hidden="false" customHeight="false" outlineLevel="0" collapsed="false">
      <c r="A49" s="6" t="s">
        <v>129</v>
      </c>
      <c r="B49" s="7" t="s">
        <v>133</v>
      </c>
      <c r="C49" s="8" t="s">
        <v>134</v>
      </c>
      <c r="D49" s="6" t="s">
        <v>40</v>
      </c>
      <c r="E49" s="9" t="n">
        <v>46286</v>
      </c>
      <c r="F49" s="9" t="n">
        <v>46290</v>
      </c>
      <c r="G49" s="7" t="n">
        <f aca="false">NETWORKDAYS(E49,F49)</f>
        <v>5</v>
      </c>
      <c r="H49" s="10" t="s">
        <v>17</v>
      </c>
      <c r="I49" s="8"/>
    </row>
    <row r="50" customFormat="false" ht="15" hidden="false" customHeight="false" outlineLevel="0" collapsed="false">
      <c r="A50" s="6" t="s">
        <v>129</v>
      </c>
      <c r="B50" s="7" t="s">
        <v>135</v>
      </c>
      <c r="C50" s="8" t="s">
        <v>136</v>
      </c>
      <c r="D50" s="6" t="s">
        <v>137</v>
      </c>
      <c r="E50" s="9" t="n">
        <v>46288</v>
      </c>
      <c r="F50" s="9" t="n">
        <v>46301</v>
      </c>
      <c r="G50" s="7" t="n">
        <f aca="false">NETWORKDAYS(E50,F50)</f>
        <v>10</v>
      </c>
      <c r="H50" s="10" t="s">
        <v>17</v>
      </c>
      <c r="I50" s="8" t="s">
        <v>138</v>
      </c>
    </row>
    <row r="51" customFormat="false" ht="15" hidden="false" customHeight="false" outlineLevel="0" collapsed="false">
      <c r="A51" s="6" t="s">
        <v>129</v>
      </c>
      <c r="B51" s="7" t="s">
        <v>139</v>
      </c>
      <c r="C51" s="8" t="s">
        <v>140</v>
      </c>
      <c r="D51" s="6" t="s">
        <v>40</v>
      </c>
      <c r="E51" s="9" t="n">
        <v>46300</v>
      </c>
      <c r="F51" s="9" t="n">
        <v>46301</v>
      </c>
      <c r="G51" s="7" t="n">
        <f aca="false">NETWORKDAYS(E51,F51)</f>
        <v>2</v>
      </c>
      <c r="H51" s="10" t="s">
        <v>17</v>
      </c>
      <c r="I51" s="8"/>
    </row>
    <row r="52" customFormat="false" ht="15" hidden="false" customHeight="false" outlineLevel="0" collapsed="false">
      <c r="A52" s="6" t="s">
        <v>129</v>
      </c>
      <c r="B52" s="7" t="s">
        <v>141</v>
      </c>
      <c r="C52" s="8" t="s">
        <v>142</v>
      </c>
      <c r="D52" s="6" t="s">
        <v>40</v>
      </c>
      <c r="E52" s="9" t="n">
        <v>46301</v>
      </c>
      <c r="F52" s="9" t="n">
        <v>46303</v>
      </c>
      <c r="G52" s="7" t="n">
        <f aca="false">NETWORKDAYS(E52,F52)</f>
        <v>3</v>
      </c>
      <c r="H52" s="10" t="s">
        <v>17</v>
      </c>
      <c r="I52" s="8"/>
    </row>
    <row r="53" customFormat="false" ht="15" hidden="false" customHeight="false" outlineLevel="0" collapsed="false">
      <c r="A53" s="6" t="s">
        <v>129</v>
      </c>
      <c r="B53" s="7" t="s">
        <v>143</v>
      </c>
      <c r="C53" s="8" t="s">
        <v>144</v>
      </c>
      <c r="D53" s="6" t="s">
        <v>40</v>
      </c>
      <c r="E53" s="9" t="n">
        <v>46303</v>
      </c>
      <c r="F53" s="9" t="n">
        <v>46303</v>
      </c>
      <c r="G53" s="7" t="n">
        <f aca="false">NETWORKDAYS(E53,F53)</f>
        <v>1</v>
      </c>
      <c r="H53" s="10" t="s">
        <v>17</v>
      </c>
      <c r="I53" s="8"/>
    </row>
    <row r="54" customFormat="false" ht="15" hidden="false" customHeight="false" outlineLevel="0" collapsed="false">
      <c r="A54" s="6" t="s">
        <v>129</v>
      </c>
      <c r="B54" s="7" t="s">
        <v>145</v>
      </c>
      <c r="C54" s="8" t="s">
        <v>146</v>
      </c>
      <c r="D54" s="6" t="s">
        <v>40</v>
      </c>
      <c r="E54" s="9" t="n">
        <v>46304</v>
      </c>
      <c r="F54" s="9" t="n">
        <v>46304</v>
      </c>
      <c r="G54" s="7" t="n">
        <f aca="false">NETWORKDAYS(E54,F54)</f>
        <v>1</v>
      </c>
      <c r="H54" s="10" t="s">
        <v>17</v>
      </c>
      <c r="I54" s="8" t="s">
        <v>147</v>
      </c>
    </row>
    <row r="55" customFormat="false" ht="15" hidden="false" customHeight="false" outlineLevel="0" collapsed="false">
      <c r="A55" s="6" t="s">
        <v>129</v>
      </c>
      <c r="B55" s="7" t="s">
        <v>148</v>
      </c>
      <c r="C55" s="8" t="s">
        <v>149</v>
      </c>
      <c r="D55" s="6" t="s">
        <v>40</v>
      </c>
      <c r="E55" s="9" t="n">
        <v>46304</v>
      </c>
      <c r="F55" s="9" t="n">
        <v>46304</v>
      </c>
      <c r="G55" s="7" t="n">
        <f aca="false">NETWORKDAYS(E55,F55)</f>
        <v>1</v>
      </c>
      <c r="H55" s="10" t="s">
        <v>17</v>
      </c>
      <c r="I55" s="8"/>
    </row>
    <row r="56" customFormat="false" ht="19.5" hidden="false" customHeight="true" outlineLevel="0" collapsed="false">
      <c r="A56" s="5" t="s">
        <v>150</v>
      </c>
      <c r="B56" s="5"/>
      <c r="C56" s="5"/>
      <c r="D56" s="5"/>
      <c r="E56" s="5"/>
      <c r="F56" s="5"/>
      <c r="G56" s="5"/>
      <c r="H56" s="5"/>
      <c r="I56" s="5"/>
    </row>
    <row r="57" customFormat="false" ht="15" hidden="false" customHeight="false" outlineLevel="0" collapsed="false">
      <c r="A57" s="6" t="s">
        <v>151</v>
      </c>
      <c r="B57" s="7" t="s">
        <v>152</v>
      </c>
      <c r="C57" s="8" t="s">
        <v>153</v>
      </c>
      <c r="D57" s="6" t="s">
        <v>40</v>
      </c>
      <c r="E57" s="9" t="n">
        <v>46307</v>
      </c>
      <c r="F57" s="9" t="n">
        <v>46307</v>
      </c>
      <c r="G57" s="7" t="n">
        <f aca="false">NETWORKDAYS(E57,F57)</f>
        <v>1</v>
      </c>
      <c r="H57" s="10" t="s">
        <v>17</v>
      </c>
      <c r="I57" s="8" t="s">
        <v>154</v>
      </c>
    </row>
    <row r="58" customFormat="false" ht="15" hidden="false" customHeight="false" outlineLevel="0" collapsed="false">
      <c r="A58" s="6" t="s">
        <v>151</v>
      </c>
      <c r="B58" s="7" t="s">
        <v>155</v>
      </c>
      <c r="C58" s="8" t="s">
        <v>156</v>
      </c>
      <c r="D58" s="6" t="s">
        <v>40</v>
      </c>
      <c r="E58" s="9" t="n">
        <v>46307</v>
      </c>
      <c r="F58" s="9" t="n">
        <v>46311</v>
      </c>
      <c r="G58" s="7" t="n">
        <f aca="false">NETWORKDAYS(E58,F58)</f>
        <v>5</v>
      </c>
      <c r="H58" s="10" t="s">
        <v>17</v>
      </c>
      <c r="I58" s="8"/>
    </row>
    <row r="59" customFormat="false" ht="15" hidden="false" customHeight="false" outlineLevel="0" collapsed="false">
      <c r="A59" s="6" t="s">
        <v>151</v>
      </c>
      <c r="B59" s="7" t="s">
        <v>157</v>
      </c>
      <c r="C59" s="8" t="s">
        <v>158</v>
      </c>
      <c r="D59" s="6" t="s">
        <v>159</v>
      </c>
      <c r="E59" s="9" t="n">
        <v>46309</v>
      </c>
      <c r="F59" s="9" t="n">
        <v>46322</v>
      </c>
      <c r="G59" s="7" t="n">
        <f aca="false">NETWORKDAYS(E59,F59)</f>
        <v>10</v>
      </c>
      <c r="H59" s="10" t="s">
        <v>17</v>
      </c>
      <c r="I59" s="8" t="s">
        <v>160</v>
      </c>
    </row>
    <row r="60" customFormat="false" ht="15" hidden="false" customHeight="false" outlineLevel="0" collapsed="false">
      <c r="A60" s="6" t="s">
        <v>151</v>
      </c>
      <c r="B60" s="7" t="s">
        <v>161</v>
      </c>
      <c r="C60" s="8" t="s">
        <v>162</v>
      </c>
      <c r="D60" s="6" t="s">
        <v>40</v>
      </c>
      <c r="E60" s="9" t="n">
        <v>46322</v>
      </c>
      <c r="F60" s="9" t="n">
        <v>46324</v>
      </c>
      <c r="G60" s="7" t="n">
        <f aca="false">NETWORKDAYS(E60,F60)</f>
        <v>3</v>
      </c>
      <c r="H60" s="10" t="s">
        <v>17</v>
      </c>
      <c r="I60" s="8"/>
    </row>
    <row r="61" customFormat="false" ht="15" hidden="false" customHeight="false" outlineLevel="0" collapsed="false">
      <c r="A61" s="6" t="s">
        <v>151</v>
      </c>
      <c r="B61" s="7" t="s">
        <v>163</v>
      </c>
      <c r="C61" s="8" t="s">
        <v>164</v>
      </c>
      <c r="D61" s="6" t="s">
        <v>40</v>
      </c>
      <c r="E61" s="9" t="n">
        <v>46325</v>
      </c>
      <c r="F61" s="9" t="n">
        <v>46325</v>
      </c>
      <c r="G61" s="7" t="n">
        <f aca="false">NETWORKDAYS(E61,F61)</f>
        <v>1</v>
      </c>
      <c r="H61" s="10" t="s">
        <v>17</v>
      </c>
      <c r="I61" s="8"/>
    </row>
    <row r="62" customFormat="false" ht="15" hidden="false" customHeight="false" outlineLevel="0" collapsed="false">
      <c r="A62" s="6" t="s">
        <v>151</v>
      </c>
      <c r="B62" s="7" t="s">
        <v>165</v>
      </c>
      <c r="C62" s="8" t="s">
        <v>166</v>
      </c>
      <c r="D62" s="6" t="s">
        <v>40</v>
      </c>
      <c r="E62" s="9" t="n">
        <v>46325</v>
      </c>
      <c r="F62" s="9" t="n">
        <v>46325</v>
      </c>
      <c r="G62" s="7" t="n">
        <f aca="false">NETWORKDAYS(E62,F62)</f>
        <v>1</v>
      </c>
      <c r="H62" s="10" t="s">
        <v>17</v>
      </c>
      <c r="I62" s="8"/>
    </row>
    <row r="63" customFormat="false" ht="19.5" hidden="false" customHeight="true" outlineLevel="0" collapsed="false">
      <c r="A63" s="5" t="s">
        <v>167</v>
      </c>
      <c r="B63" s="5"/>
      <c r="C63" s="5"/>
      <c r="D63" s="5"/>
      <c r="E63" s="5"/>
      <c r="F63" s="5"/>
      <c r="G63" s="5"/>
      <c r="H63" s="5"/>
      <c r="I63" s="5"/>
    </row>
    <row r="64" customFormat="false" ht="15" hidden="false" customHeight="false" outlineLevel="0" collapsed="false">
      <c r="A64" s="6" t="s">
        <v>168</v>
      </c>
      <c r="B64" s="7" t="s">
        <v>169</v>
      </c>
      <c r="C64" s="8" t="s">
        <v>170</v>
      </c>
      <c r="D64" s="6" t="s">
        <v>102</v>
      </c>
      <c r="E64" s="9" t="n">
        <v>46328</v>
      </c>
      <c r="F64" s="9" t="n">
        <v>46329</v>
      </c>
      <c r="G64" s="7" t="n">
        <f aca="false">NETWORKDAYS(E64,F64)</f>
        <v>2</v>
      </c>
      <c r="H64" s="10" t="s">
        <v>17</v>
      </c>
      <c r="I64" s="8"/>
    </row>
    <row r="65" customFormat="false" ht="15" hidden="false" customHeight="false" outlineLevel="0" collapsed="false">
      <c r="A65" s="6" t="s">
        <v>168</v>
      </c>
      <c r="B65" s="7" t="s">
        <v>171</v>
      </c>
      <c r="C65" s="8" t="s">
        <v>172</v>
      </c>
      <c r="D65" s="6" t="s">
        <v>102</v>
      </c>
      <c r="E65" s="9" t="n">
        <v>46329</v>
      </c>
      <c r="F65" s="9" t="n">
        <v>46331</v>
      </c>
      <c r="G65" s="7" t="n">
        <f aca="false">NETWORKDAYS(E65,F65)</f>
        <v>3</v>
      </c>
      <c r="H65" s="10" t="s">
        <v>17</v>
      </c>
      <c r="I65" s="8"/>
    </row>
    <row r="66" customFormat="false" ht="15" hidden="false" customHeight="false" outlineLevel="0" collapsed="false">
      <c r="A66" s="6" t="s">
        <v>168</v>
      </c>
      <c r="B66" s="7" t="s">
        <v>173</v>
      </c>
      <c r="C66" s="8" t="s">
        <v>174</v>
      </c>
      <c r="D66" s="6" t="s">
        <v>52</v>
      </c>
      <c r="E66" s="9" t="n">
        <v>46331</v>
      </c>
      <c r="F66" s="9" t="n">
        <v>46332</v>
      </c>
      <c r="G66" s="7" t="n">
        <f aca="false">NETWORKDAYS(E66,F66)</f>
        <v>2</v>
      </c>
      <c r="H66" s="10" t="s">
        <v>17</v>
      </c>
      <c r="I66" s="8"/>
    </row>
    <row r="67" customFormat="false" ht="19.5" hidden="false" customHeight="true" outlineLevel="0" collapsed="false">
      <c r="A67" s="11" t="s">
        <v>175</v>
      </c>
      <c r="B67" s="11"/>
      <c r="C67" s="11"/>
      <c r="D67" s="11"/>
      <c r="E67" s="11"/>
      <c r="F67" s="11"/>
      <c r="G67" s="11"/>
      <c r="H67" s="11"/>
      <c r="I67" s="11"/>
    </row>
    <row r="68" customFormat="false" ht="23.85" hidden="false" customHeight="false" outlineLevel="0" collapsed="false">
      <c r="A68" s="12" t="s">
        <v>176</v>
      </c>
      <c r="B68" s="13" t="s">
        <v>177</v>
      </c>
      <c r="C68" s="14" t="s">
        <v>178</v>
      </c>
      <c r="D68" s="12" t="s">
        <v>40</v>
      </c>
      <c r="E68" s="15" t="n">
        <v>46335</v>
      </c>
      <c r="F68" s="15" t="n">
        <v>46339</v>
      </c>
      <c r="G68" s="13" t="n">
        <f aca="false">NETWORKDAYS(E68,F68)</f>
        <v>5</v>
      </c>
      <c r="H68" s="16" t="s">
        <v>17</v>
      </c>
      <c r="I68" s="14" t="s">
        <v>179</v>
      </c>
    </row>
    <row r="69" customFormat="false" ht="46.25" hidden="false" customHeight="false" outlineLevel="0" collapsed="false">
      <c r="A69" s="12" t="s">
        <v>176</v>
      </c>
      <c r="B69" s="13" t="s">
        <v>180</v>
      </c>
      <c r="C69" s="14" t="s">
        <v>181</v>
      </c>
      <c r="D69" s="12" t="s">
        <v>40</v>
      </c>
      <c r="E69" s="15" t="n">
        <v>46339</v>
      </c>
      <c r="F69" s="15" t="n">
        <v>46339</v>
      </c>
      <c r="G69" s="13" t="n">
        <f aca="false">NETWORKDAYS(E69,F69)</f>
        <v>1</v>
      </c>
      <c r="H69" s="16" t="s">
        <v>17</v>
      </c>
      <c r="I69" s="14" t="s">
        <v>182</v>
      </c>
    </row>
    <row r="70" customFormat="false" ht="19.5" hidden="false" customHeight="true" outlineLevel="0" collapsed="false">
      <c r="A70" s="5" t="s">
        <v>183</v>
      </c>
      <c r="B70" s="5"/>
      <c r="C70" s="5"/>
      <c r="D70" s="5"/>
      <c r="E70" s="5"/>
      <c r="F70" s="5"/>
      <c r="G70" s="5"/>
      <c r="H70" s="5"/>
      <c r="I70" s="5"/>
    </row>
    <row r="71" customFormat="false" ht="15" hidden="false" customHeight="false" outlineLevel="0" collapsed="false">
      <c r="A71" s="6" t="s">
        <v>184</v>
      </c>
      <c r="B71" s="7" t="s">
        <v>185</v>
      </c>
      <c r="C71" s="8" t="s">
        <v>186</v>
      </c>
      <c r="D71" s="6" t="s">
        <v>52</v>
      </c>
      <c r="E71" s="9" t="n">
        <v>46342</v>
      </c>
      <c r="F71" s="9" t="n">
        <v>46346</v>
      </c>
      <c r="G71" s="7" t="n">
        <f aca="false">NETWORKDAYS(E71,F71)</f>
        <v>5</v>
      </c>
      <c r="H71" s="10" t="s">
        <v>17</v>
      </c>
      <c r="I71" s="8" t="s">
        <v>187</v>
      </c>
    </row>
    <row r="72" customFormat="false" ht="15" hidden="false" customHeight="false" outlineLevel="0" collapsed="false">
      <c r="A72" s="6" t="s">
        <v>184</v>
      </c>
      <c r="B72" s="7" t="s">
        <v>188</v>
      </c>
      <c r="C72" s="8" t="s">
        <v>189</v>
      </c>
      <c r="D72" s="6" t="s">
        <v>52</v>
      </c>
      <c r="E72" s="9" t="n">
        <v>46346</v>
      </c>
      <c r="F72" s="9" t="n">
        <v>46353</v>
      </c>
      <c r="G72" s="7" t="n">
        <f aca="false">NETWORKDAYS(E72,F72)</f>
        <v>6</v>
      </c>
      <c r="H72" s="10" t="s">
        <v>17</v>
      </c>
      <c r="I72" s="8"/>
    </row>
    <row r="73" customFormat="false" ht="15" hidden="false" customHeight="false" outlineLevel="0" collapsed="false">
      <c r="A73" s="6" t="s">
        <v>184</v>
      </c>
      <c r="B73" s="7" t="s">
        <v>190</v>
      </c>
      <c r="C73" s="8" t="s">
        <v>191</v>
      </c>
      <c r="D73" s="6" t="s">
        <v>52</v>
      </c>
      <c r="E73" s="9" t="n">
        <v>46356</v>
      </c>
      <c r="F73" s="9" t="n">
        <v>46360</v>
      </c>
      <c r="G73" s="7" t="n">
        <f aca="false">NETWORKDAYS(E73,F73)</f>
        <v>5</v>
      </c>
      <c r="H73" s="10" t="s">
        <v>17</v>
      </c>
      <c r="I73" s="8"/>
    </row>
    <row r="74" customFormat="false" ht="15" hidden="false" customHeight="false" outlineLevel="0" collapsed="false">
      <c r="A74" s="6" t="s">
        <v>184</v>
      </c>
      <c r="B74" s="7" t="s">
        <v>192</v>
      </c>
      <c r="C74" s="8" t="s">
        <v>193</v>
      </c>
      <c r="D74" s="6" t="s">
        <v>52</v>
      </c>
      <c r="E74" s="9" t="n">
        <v>46358</v>
      </c>
      <c r="F74" s="9" t="n">
        <v>46360</v>
      </c>
      <c r="G74" s="7" t="n">
        <f aca="false">NETWORKDAYS(E74,F74)</f>
        <v>3</v>
      </c>
      <c r="H74" s="10" t="s">
        <v>17</v>
      </c>
      <c r="I74" s="8"/>
    </row>
    <row r="75" customFormat="false" ht="15" hidden="false" customHeight="false" outlineLevel="0" collapsed="false">
      <c r="A75" s="6" t="s">
        <v>184</v>
      </c>
      <c r="B75" s="7" t="s">
        <v>194</v>
      </c>
      <c r="C75" s="8" t="s">
        <v>195</v>
      </c>
      <c r="D75" s="6" t="s">
        <v>52</v>
      </c>
      <c r="E75" s="9" t="n">
        <v>46363</v>
      </c>
      <c r="F75" s="9" t="n">
        <v>46366</v>
      </c>
      <c r="G75" s="7" t="n">
        <f aca="false">NETWORKDAYS(E75,F75)</f>
        <v>4</v>
      </c>
      <c r="H75" s="10" t="s">
        <v>17</v>
      </c>
      <c r="I75" s="8"/>
    </row>
    <row r="76" customFormat="false" ht="15" hidden="false" customHeight="false" outlineLevel="0" collapsed="false">
      <c r="A76" s="6" t="s">
        <v>184</v>
      </c>
      <c r="B76" s="7" t="s">
        <v>196</v>
      </c>
      <c r="C76" s="8" t="s">
        <v>197</v>
      </c>
      <c r="D76" s="6" t="s">
        <v>102</v>
      </c>
      <c r="E76" s="9" t="n">
        <v>46367</v>
      </c>
      <c r="F76" s="9" t="n">
        <v>46367</v>
      </c>
      <c r="G76" s="7" t="n">
        <f aca="false">NETWORKDAYS(E76,F76)</f>
        <v>1</v>
      </c>
      <c r="H76" s="10" t="s">
        <v>17</v>
      </c>
      <c r="I76" s="8" t="s">
        <v>198</v>
      </c>
    </row>
    <row r="77" customFormat="false" ht="19.5" hidden="false" customHeight="true" outlineLevel="0" collapsed="false">
      <c r="A77" s="5" t="s">
        <v>199</v>
      </c>
      <c r="B77" s="5"/>
      <c r="C77" s="5"/>
      <c r="D77" s="5"/>
      <c r="E77" s="5"/>
      <c r="F77" s="5"/>
      <c r="G77" s="5"/>
      <c r="H77" s="5"/>
      <c r="I77" s="5"/>
    </row>
    <row r="78" customFormat="false" ht="23.85" hidden="false" customHeight="false" outlineLevel="0" collapsed="false">
      <c r="A78" s="6" t="s">
        <v>200</v>
      </c>
      <c r="B78" s="7" t="s">
        <v>201</v>
      </c>
      <c r="C78" s="8" t="s">
        <v>202</v>
      </c>
      <c r="D78" s="6" t="s">
        <v>40</v>
      </c>
      <c r="E78" s="9" t="n">
        <v>46307</v>
      </c>
      <c r="F78" s="9" t="n">
        <v>46444</v>
      </c>
      <c r="G78" s="7" t="n">
        <f aca="false">NETWORKDAYS(E78,F78)</f>
        <v>100</v>
      </c>
      <c r="H78" s="10" t="s">
        <v>17</v>
      </c>
      <c r="I78" s="8" t="s">
        <v>203</v>
      </c>
    </row>
    <row r="79" customFormat="false" ht="15" hidden="false" customHeight="false" outlineLevel="0" collapsed="false">
      <c r="A79" s="6" t="s">
        <v>200</v>
      </c>
      <c r="B79" s="7" t="s">
        <v>204</v>
      </c>
      <c r="C79" s="8" t="s">
        <v>205</v>
      </c>
      <c r="D79" s="6" t="s">
        <v>20</v>
      </c>
      <c r="E79" s="9" t="n">
        <v>46328</v>
      </c>
      <c r="F79" s="9" t="n">
        <v>46444</v>
      </c>
      <c r="G79" s="7" t="n">
        <f aca="false">NETWORKDAYS(E79,F79)</f>
        <v>85</v>
      </c>
      <c r="H79" s="10" t="s">
        <v>17</v>
      </c>
      <c r="I79" s="8"/>
    </row>
    <row r="80" customFormat="false" ht="19.5" hidden="false" customHeight="true" outlineLevel="0" collapsed="false">
      <c r="A80" s="11" t="s">
        <v>206</v>
      </c>
      <c r="B80" s="11"/>
      <c r="C80" s="11"/>
      <c r="D80" s="11"/>
      <c r="E80" s="11"/>
      <c r="F80" s="11"/>
      <c r="G80" s="11"/>
      <c r="H80" s="11"/>
      <c r="I80" s="11"/>
    </row>
    <row r="81" customFormat="false" ht="23.85" hidden="false" customHeight="false" outlineLevel="0" collapsed="false">
      <c r="A81" s="12" t="s">
        <v>207</v>
      </c>
      <c r="B81" s="13" t="s">
        <v>208</v>
      </c>
      <c r="C81" s="14" t="s">
        <v>209</v>
      </c>
      <c r="D81" s="12" t="s">
        <v>33</v>
      </c>
      <c r="E81" s="15" t="n">
        <v>46447</v>
      </c>
      <c r="F81" s="15" t="n">
        <v>46450</v>
      </c>
      <c r="G81" s="13" t="n">
        <f aca="false">NETWORKDAYS(E81,F81)</f>
        <v>4</v>
      </c>
      <c r="H81" s="16" t="s">
        <v>17</v>
      </c>
      <c r="I81" s="14" t="s">
        <v>210</v>
      </c>
    </row>
    <row r="82" customFormat="false" ht="23.85" hidden="false" customHeight="false" outlineLevel="0" collapsed="false">
      <c r="A82" s="12" t="s">
        <v>207</v>
      </c>
      <c r="B82" s="13" t="s">
        <v>211</v>
      </c>
      <c r="C82" s="14" t="s">
        <v>212</v>
      </c>
      <c r="D82" s="12" t="s">
        <v>20</v>
      </c>
      <c r="E82" s="15" t="n">
        <v>46451</v>
      </c>
      <c r="F82" s="15" t="n">
        <v>46451</v>
      </c>
      <c r="G82" s="13" t="n">
        <f aca="false">NETWORKDAYS(E82,F82)</f>
        <v>1</v>
      </c>
      <c r="H82" s="16" t="s">
        <v>17</v>
      </c>
      <c r="I82" s="14" t="s">
        <v>213</v>
      </c>
    </row>
    <row r="83" customFormat="false" ht="19.5" hidden="false" customHeight="true" outlineLevel="0" collapsed="false">
      <c r="A83" s="5" t="s">
        <v>214</v>
      </c>
      <c r="B83" s="5"/>
      <c r="C83" s="5"/>
      <c r="D83" s="5"/>
      <c r="E83" s="5"/>
      <c r="F83" s="5"/>
      <c r="G83" s="5"/>
      <c r="H83" s="5"/>
      <c r="I83" s="5"/>
    </row>
    <row r="84" customFormat="false" ht="15" hidden="false" customHeight="false" outlineLevel="0" collapsed="false">
      <c r="A84" s="6" t="s">
        <v>215</v>
      </c>
      <c r="B84" s="7" t="s">
        <v>216</v>
      </c>
      <c r="C84" s="8" t="s">
        <v>217</v>
      </c>
      <c r="D84" s="6" t="s">
        <v>40</v>
      </c>
      <c r="E84" s="9" t="n">
        <v>46454</v>
      </c>
      <c r="F84" s="9" t="n">
        <v>46528</v>
      </c>
      <c r="G84" s="7" t="n">
        <f aca="false">NETWORKDAYS(E84,F84)</f>
        <v>55</v>
      </c>
      <c r="H84" s="10" t="s">
        <v>17</v>
      </c>
      <c r="I84" s="8" t="s">
        <v>218</v>
      </c>
    </row>
  </sheetData>
  <autoFilter ref="A5:I84"/>
  <mergeCells count="13">
    <mergeCell ref="A6:I6"/>
    <mergeCell ref="A18:I18"/>
    <mergeCell ref="A27:I27"/>
    <mergeCell ref="A31:I31"/>
    <mergeCell ref="A36:I36"/>
    <mergeCell ref="A47:I47"/>
    <mergeCell ref="A56:I56"/>
    <mergeCell ref="A63:I63"/>
    <mergeCell ref="A67:I67"/>
    <mergeCell ref="A70:I70"/>
    <mergeCell ref="A77:I77"/>
    <mergeCell ref="A80:I80"/>
    <mergeCell ref="A83:I8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8"/>
    <col collapsed="false" customWidth="true" hidden="false" outlineLevel="0" max="4" min="3" style="0" width="12"/>
    <col collapsed="false" customWidth="true" hidden="false" outlineLevel="0" max="6" min="5" style="0" width="52"/>
  </cols>
  <sheetData>
    <row r="1" customFormat="false" ht="18.55" hidden="false" customHeight="false" outlineLevel="0" collapsed="false">
      <c r="A1" s="1" t="s">
        <v>219</v>
      </c>
    </row>
    <row r="2" customFormat="false" ht="15" hidden="false" customHeight="false" outlineLevel="0" collapsed="false">
      <c r="A2" s="2" t="s">
        <v>220</v>
      </c>
    </row>
    <row r="4" customFormat="false" ht="25.5" hidden="false" customHeight="true" outlineLevel="0" collapsed="false">
      <c r="A4" s="4" t="s">
        <v>221</v>
      </c>
      <c r="B4" s="4" t="s">
        <v>222</v>
      </c>
      <c r="C4" s="4" t="s">
        <v>223</v>
      </c>
      <c r="D4" s="4" t="s">
        <v>6</v>
      </c>
      <c r="E4" s="4" t="s">
        <v>224</v>
      </c>
      <c r="F4" s="4" t="s">
        <v>225</v>
      </c>
    </row>
    <row r="5" customFormat="false" ht="75.75" hidden="false" customHeight="true" outlineLevel="0" collapsed="false">
      <c r="A5" s="14" t="s">
        <v>226</v>
      </c>
      <c r="B5" s="17" t="s">
        <v>227</v>
      </c>
      <c r="C5" s="18" t="n">
        <v>46339</v>
      </c>
      <c r="D5" s="17" t="s">
        <v>40</v>
      </c>
      <c r="E5" s="17" t="s">
        <v>228</v>
      </c>
      <c r="F5" s="17" t="s">
        <v>229</v>
      </c>
    </row>
    <row r="6" customFormat="false" ht="75.75" hidden="false" customHeight="true" outlineLevel="0" collapsed="false">
      <c r="A6" s="14" t="s">
        <v>230</v>
      </c>
      <c r="B6" s="17" t="s">
        <v>231</v>
      </c>
      <c r="C6" s="18" t="n">
        <v>46430</v>
      </c>
      <c r="D6" s="17" t="s">
        <v>20</v>
      </c>
      <c r="E6" s="17" t="s">
        <v>232</v>
      </c>
      <c r="F6" s="17" t="s">
        <v>233</v>
      </c>
    </row>
    <row r="8" customFormat="false" ht="15" hidden="false" customHeight="false" outlineLevel="0" collapsed="false">
      <c r="A8" s="19" t="s">
        <v>234</v>
      </c>
    </row>
    <row r="9" customFormat="false" ht="61.5" hidden="false" customHeight="true" outlineLevel="0" collapsed="false">
      <c r="A9" s="20" t="s">
        <v>235</v>
      </c>
      <c r="B9" s="20"/>
      <c r="C9" s="20"/>
      <c r="D9" s="20"/>
      <c r="E9" s="20"/>
      <c r="F9" s="20"/>
    </row>
  </sheetData>
  <mergeCells count="1">
    <mergeCell ref="A9:F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96"/>
  </cols>
  <sheetData>
    <row r="1" customFormat="false" ht="18.55" hidden="false" customHeight="false" outlineLevel="0" collapsed="false">
      <c r="A1" s="1" t="s">
        <v>236</v>
      </c>
    </row>
    <row r="3" customFormat="false" ht="15" hidden="false" customHeight="false" outlineLevel="0" collapsed="false">
      <c r="A3" s="21" t="s">
        <v>237</v>
      </c>
      <c r="B3" s="21" t="s">
        <v>238</v>
      </c>
    </row>
    <row r="4" customFormat="false" ht="30" hidden="false" customHeight="true" outlineLevel="0" collapsed="false">
      <c r="A4" s="22" t="s">
        <v>239</v>
      </c>
      <c r="B4" s="8" t="s">
        <v>240</v>
      </c>
    </row>
    <row r="5" customFormat="false" ht="30" hidden="false" customHeight="true" outlineLevel="0" collapsed="false">
      <c r="A5" s="22" t="s">
        <v>241</v>
      </c>
      <c r="B5" s="8" t="s">
        <v>242</v>
      </c>
    </row>
    <row r="6" customFormat="false" ht="30" hidden="false" customHeight="true" outlineLevel="0" collapsed="false">
      <c r="A6" s="22" t="s">
        <v>243</v>
      </c>
      <c r="B6" s="8" t="s">
        <v>244</v>
      </c>
    </row>
    <row r="7" customFormat="false" ht="30" hidden="false" customHeight="true" outlineLevel="0" collapsed="false">
      <c r="A7" s="22" t="s">
        <v>245</v>
      </c>
      <c r="B7" s="8" t="s">
        <v>246</v>
      </c>
    </row>
    <row r="8" customFormat="false" ht="30" hidden="false" customHeight="true" outlineLevel="0" collapsed="false">
      <c r="A8" s="22" t="s">
        <v>247</v>
      </c>
      <c r="B8" s="8" t="s">
        <v>248</v>
      </c>
    </row>
    <row r="9" customFormat="false" ht="30" hidden="false" customHeight="true" outlineLevel="0" collapsed="false">
      <c r="A9" s="22" t="s">
        <v>249</v>
      </c>
      <c r="B9" s="8" t="s">
        <v>250</v>
      </c>
    </row>
    <row r="10" customFormat="false" ht="30" hidden="false" customHeight="true" outlineLevel="0" collapsed="false">
      <c r="A10" s="22" t="s">
        <v>251</v>
      </c>
      <c r="B10" s="8" t="s">
        <v>252</v>
      </c>
    </row>
    <row r="11" customFormat="false" ht="15" hidden="false" customHeight="false" outlineLevel="0" collapsed="false">
      <c r="A11" s="23"/>
      <c r="B11" s="24"/>
    </row>
    <row r="12" customFormat="false" ht="30" hidden="false" customHeight="true" outlineLevel="0" collapsed="false">
      <c r="A12" s="22" t="s">
        <v>253</v>
      </c>
      <c r="B12" s="8" t="s">
        <v>254</v>
      </c>
    </row>
    <row r="13" customFormat="false" ht="30" hidden="false" customHeight="true" outlineLevel="0" collapsed="false">
      <c r="A13" s="22" t="s">
        <v>255</v>
      </c>
      <c r="B13" s="8" t="s">
        <v>256</v>
      </c>
    </row>
    <row r="14" customFormat="false" ht="30" hidden="false" customHeight="true" outlineLevel="0" collapsed="false">
      <c r="A14" s="22" t="s">
        <v>257</v>
      </c>
      <c r="B14" s="8" t="s">
        <v>258</v>
      </c>
    </row>
    <row r="15" customFormat="false" ht="30" hidden="false" customHeight="true" outlineLevel="0" collapsed="false">
      <c r="A15" s="22" t="s">
        <v>259</v>
      </c>
      <c r="B15" s="8" t="s">
        <v>260</v>
      </c>
    </row>
    <row r="16" customFormat="false" ht="30" hidden="false" customHeight="true" outlineLevel="0" collapsed="false">
      <c r="A16" s="22" t="s">
        <v>261</v>
      </c>
      <c r="B16" s="8" t="s">
        <v>262</v>
      </c>
    </row>
    <row r="17" customFormat="false" ht="30" hidden="false" customHeight="true" outlineLevel="0" collapsed="false">
      <c r="A17" s="22" t="s">
        <v>263</v>
      </c>
      <c r="B17" s="8" t="s">
        <v>264</v>
      </c>
    </row>
    <row r="18" customFormat="false" ht="30" hidden="false" customHeight="true" outlineLevel="0" collapsed="false">
      <c r="A18" s="22" t="s">
        <v>265</v>
      </c>
      <c r="B18" s="8" t="s">
        <v>266</v>
      </c>
    </row>
    <row r="19" customFormat="false" ht="30" hidden="false" customHeight="true" outlineLevel="0" collapsed="false">
      <c r="A19" s="22" t="s">
        <v>267</v>
      </c>
      <c r="B19" s="8" t="s">
        <v>268</v>
      </c>
    </row>
    <row r="20" customFormat="false" ht="15" hidden="false" customHeight="false" outlineLevel="0" collapsed="false">
      <c r="A20" s="23"/>
      <c r="B20" s="24"/>
    </row>
    <row r="21" customFormat="false" ht="30" hidden="false" customHeight="true" outlineLevel="0" collapsed="false">
      <c r="A21" s="22" t="s">
        <v>269</v>
      </c>
      <c r="B21" s="8" t="s">
        <v>270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2026-08-26T16:43:41Z</dcterms:created>
  <dc:creator>openpyxl</dc:creator>
  <dc:description/>
  <dc:language>en-US</dc:language>
  <cp:lastModifiedBy/>
  <dcterms:modified xsi:type="dcterms:W3CDTF">2026-08-26T16:43:41Z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