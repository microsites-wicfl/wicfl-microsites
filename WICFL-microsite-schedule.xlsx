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dule" sheetId="1" state="visible" r:id="rId3"/>
    <sheet name="Gates and Criteria" sheetId="2" state="visible" r:id="rId4"/>
    <sheet name="Legend and Assumptions" sheetId="3" state="visible" r:id="rId5"/>
  </sheets>
  <definedNames>
    <definedName function="false" hidden="true" localSheetId="0" name="_xlnm._FilterDatabase" vbProcedure="false">Schedule!$A$5:$I$84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<sst xmlns="http://schemas.openxmlformats.org/spreadsheetml/2006/main" count="475" uniqueCount="284">
  <si>
    <t xml:space="preserve">WICFL Microsite Project - Activity Schedule</t>
  </si>
  <si>
    <t xml:space="preserve">Build the factory first. Two separate gates: technical repeatability (Gate A) and commercial validation (Gate B).</t>
  </si>
  <si>
    <t xml:space="preserve">Prepared by Victor  |  Version 1.3  |  26 Aug 2026  |  Architecture review applied</t>
  </si>
  <si>
    <t xml:space="preserve">Phase</t>
  </si>
  <si>
    <t xml:space="preserve">ID</t>
  </si>
  <si>
    <t xml:space="preserve">Activity</t>
  </si>
  <si>
    <t xml:space="preserve">Owner</t>
  </si>
  <si>
    <t xml:space="preserve">Start</t>
  </si>
  <si>
    <t xml:space="preserve">End</t>
  </si>
  <si>
    <t xml:space="preserve">Work Days</t>
  </si>
  <si>
    <t xml:space="preserve">Status</t>
  </si>
  <si>
    <t xml:space="preserve">Gate / Notes</t>
  </si>
  <si>
    <t xml:space="preserve">PHASE 0  |  Alignment and Decisions  |  24 Aug - 28 Aug 2026  |  Owner: Kevin</t>
  </si>
  <si>
    <t xml:space="preserve">Phase 0</t>
  </si>
  <si>
    <t xml:space="preserve">0.1</t>
  </si>
  <si>
    <t xml:space="preserve">Group kickoff call: confirm plan, roles and sequence</t>
  </si>
  <si>
    <t xml:space="preserve">All</t>
  </si>
  <si>
    <t xml:space="preserve">Not started</t>
  </si>
  <si>
    <t xml:space="preserve">0.2</t>
  </si>
  <si>
    <t xml:space="preserve">Confirm agreed changes: Workers over Pages, two gates, Site #3 generated not hand built</t>
  </si>
  <si>
    <t xml:space="preserve">Kevin</t>
  </si>
  <si>
    <t xml:space="preserve">0.3</t>
  </si>
  <si>
    <t xml:space="preserve">Obtain written per-number monthly quote from GoTo</t>
  </si>
  <si>
    <t xml:space="preserve">Done</t>
  </si>
  <si>
    <t xml:space="preserve">W-001 CLOSED 25 Aug: GoTo confirmed $0.99 per number, $1,188/yr at 100 numbers. Bought directly in GoTo, Twilio dropped</t>
  </si>
  <si>
    <t xml:space="preserve">0.4</t>
  </si>
  <si>
    <t xml:space="preserve">Assign content owner for English, and a native Spanish writer</t>
  </si>
  <si>
    <t xml:space="preserve">W-002 CLOSED 25 Aug: Kevin assigned content to Pavel, who also writes native Spanish. Removes the hire planned for late October</t>
  </si>
  <si>
    <t xml:space="preserve">0.5</t>
  </si>
  <si>
    <t xml:space="preserve">Select English niche and target market for Site #1</t>
  </si>
  <si>
    <t xml:space="preserve">0.6</t>
  </si>
  <si>
    <t xml:space="preserve">Select Spanish niche and target market for Site #2</t>
  </si>
  <si>
    <t xml:space="preserve">0.7</t>
  </si>
  <si>
    <t xml:space="preserve">Define numeric success criteria for Gate B</t>
  </si>
  <si>
    <t xml:space="preserve">Kevin + Victor</t>
  </si>
  <si>
    <t xml:space="preserve">W-005. The arithmetic is ready in the Gate B model: Kevin supplies three business figures and the target follows. Set the bar now, before there is data to bend it to</t>
  </si>
  <si>
    <t xml:space="preserve">0.8</t>
  </si>
  <si>
    <t xml:space="preserve">Decide whether pilot sites get their own Google Business Profiles</t>
  </si>
  <si>
    <t xml:space="preserve">May change which niches are viable</t>
  </si>
  <si>
    <t xml:space="preserve">0.9</t>
  </si>
  <si>
    <t xml:space="preserve">Confirm Pavel's real weekly availability for the technical ramp</t>
  </si>
  <si>
    <t xml:space="preserve">Pavel</t>
  </si>
  <si>
    <t xml:space="preserve">W-009 CLOSED 25 Aug: full dedication confirmed. Phase 3 fixed at 21 Sep, Site #1 at 9 Oct</t>
  </si>
  <si>
    <t xml:space="preserve">0.11</t>
  </si>
  <si>
    <t xml:space="preserve">Confirm which CRM WICFL uses: same HighLevel instance as WAGS, a sub-account, or something else</t>
  </si>
  <si>
    <t xml:space="preserve">W-096. Blocks 2.5. Surfaced by architecture review, never named before</t>
  </si>
  <si>
    <t xml:space="preserve">0.10</t>
  </si>
  <si>
    <t xml:space="preserve">Supply Walker brand assets: logo, approved contact, disclosures, license numbers</t>
  </si>
  <si>
    <t xml:space="preserve">W-008. From Pavel's research. Site #1 cannot publish without it</t>
  </si>
  <si>
    <t xml:space="preserve">0.12</t>
  </si>
  <si>
    <t xml:space="preserve">Define what counts as a qualified call, and how it gets recorded and tagged</t>
  </si>
  <si>
    <t xml:space="preserve">W-100. Gate B is measured in this unit. The definition decides what GoTo has to capture, and that is wired before Site #1 launches</t>
  </si>
  <si>
    <t xml:space="preserve">PHASE 1  |  Infrastructure and Niche Validation  |  31 Aug - 4 Sep 2026  |  Owner: Victor + Pavel</t>
  </si>
  <si>
    <t xml:space="preserve">Phase 1</t>
  </si>
  <si>
    <t xml:space="preserve">1.1</t>
  </si>
  <si>
    <t xml:space="preserve">Create company-owned Cloudflare account under a company email</t>
  </si>
  <si>
    <t xml:space="preserve">Victor</t>
  </si>
  <si>
    <t xml:space="preserve">Never a personal account. This becomes the whole business asset</t>
  </si>
  <si>
    <t xml:space="preserve">1.2</t>
  </si>
  <si>
    <t xml:space="preserve">Configure roles: two Super Administrators, Pavel as Administrator</t>
  </si>
  <si>
    <t xml:space="preserve">1.3</t>
  </si>
  <si>
    <t xml:space="preserve">Enable 2FA and store recovery codes in a shared company vault</t>
  </si>
  <si>
    <t xml:space="preserve">1.4</t>
  </si>
  <si>
    <t xml:space="preserve">Create GitHub organization and monorepo, configure access</t>
  </si>
  <si>
    <t xml:space="preserve">1.5</t>
  </si>
  <si>
    <t xml:space="preserve">Validate the niches before buying anything: keywords, intent, SERP competition, real local angle</t>
  </si>
  <si>
    <t xml:space="preserve">W-016. From Pavel's research. If a niche is owned by national aggregators, it is discarded and Kevin picks another. BLOCKS 1.7</t>
  </si>
  <si>
    <t xml:space="preserve">1.6</t>
  </si>
  <si>
    <t xml:space="preserve">Provision Pavel's access: Cloudflare Administrator, GitHub, GoTo, GA4, Search Console</t>
  </si>
  <si>
    <t xml:space="preserve">W-017. From Pavel's research</t>
  </si>
  <si>
    <t xml:space="preserve">1.7</t>
  </si>
  <si>
    <t xml:space="preserve">Stand up Workers Static Assets deploy pipeline and GitHub Actions</t>
  </si>
  <si>
    <t xml:space="preserve">1.8</t>
  </si>
  <si>
    <t xml:space="preserve">Write architecture handoff document</t>
  </si>
  <si>
    <t xml:space="preserve">Keeps Victor out of the critical path later</t>
  </si>
  <si>
    <t xml:space="preserve">PHASE 1b  |  Domains  |  7 Sep - 8 Sep 2026  |  Owner: Victor  |  Only after niche validation passes</t>
  </si>
  <si>
    <t xml:space="preserve">Phase 1b</t>
  </si>
  <si>
    <t xml:space="preserve">1.9</t>
  </si>
  <si>
    <t xml:space="preserve">Kevin approves domain names for the validated niches</t>
  </si>
  <si>
    <t xml:space="preserve">W-007. Moved after 1.5 so we never buy a domain for a niche we cannot win</t>
  </si>
  <si>
    <t xml:space="preserve">1.10</t>
  </si>
  <si>
    <t xml:space="preserve">Register Site #1 and Site #2 domains via Cloudflare Registrar</t>
  </si>
  <si>
    <t xml:space="preserve">W-011</t>
  </si>
  <si>
    <t xml:space="preserve">1.11</t>
  </si>
  <si>
    <t xml:space="preserve">Configure zones, DNS records and SSL</t>
  </si>
  <si>
    <t xml:space="preserve">Framework build does not depend on domains, so this adds no critical path</t>
  </si>
  <si>
    <t xml:space="preserve">PARALLEL TRACK  |  Pavel Technical Ramp  |  31 Aug - 18 Sep 2026  |  Owner: Pavel</t>
  </si>
  <si>
    <t xml:space="preserve">Ramp</t>
  </si>
  <si>
    <t xml:space="preserve">R.1</t>
  </si>
  <si>
    <t xml:space="preserve">HTML and CSS to the level of reading and diagnosing, not building</t>
  </si>
  <si>
    <t xml:space="preserve">W-018. Pavel never writes HTML to launch a site. Scope is diagnosis</t>
  </si>
  <si>
    <t xml:space="preserve">R.2</t>
  </si>
  <si>
    <t xml:space="preserve">Astro concepts: pages, components, layouts, how config and content feed the template</t>
  </si>
  <si>
    <t xml:space="preserve">W-018</t>
  </si>
  <si>
    <t xml:space="preserve">R.3</t>
  </si>
  <si>
    <t xml:space="preserve">Git workflow and Cloudflare basics</t>
  </si>
  <si>
    <t xml:space="preserve">R.4</t>
  </si>
  <si>
    <t xml:space="preserve">Shadow the framework build</t>
  </si>
  <si>
    <t xml:space="preserve">W-019. Duration adjusts once 0.9 closes. Preferred fix if the ramp runs long is extending this, not compressing Phase 3</t>
  </si>
  <si>
    <t xml:space="preserve">PHASE 2  |  Framework Build  |  8 Sep - 18 Sep 2026  |  BLOCK A gated by the handoff; BLOCK B gated by the 9 Oct launch</t>
  </si>
  <si>
    <t xml:space="preserve">Phase 2</t>
  </si>
  <si>
    <t xml:space="preserve">2.1</t>
  </si>
  <si>
    <t xml:space="preserve">Define the site config schema</t>
  </si>
  <si>
    <t xml:space="preserve">THE contract. Every input a site needs. Everything downstream builds on it</t>
  </si>
  <si>
    <t xml:space="preserve">2.2</t>
  </si>
  <si>
    <t xml:space="preserve">Build Astro base template: layouts, components, design system</t>
  </si>
  <si>
    <t xml:space="preserve">Victor + Pavel</t>
  </si>
  <si>
    <t xml:space="preserve">2.3</t>
  </si>
  <si>
    <t xml:space="preserve">Bilingual routing for English and Spanish, with hreflang</t>
  </si>
  <si>
    <t xml:space="preserve">Built in from day one, not retrofitted</t>
  </si>
  <si>
    <t xml:space="preserve">Phase 2 B</t>
  </si>
  <si>
    <t xml:space="preserve">2.4</t>
  </si>
  <si>
    <t xml:space="preserve">[BLOCK B, due 9 Oct] Technical SEO baseline: sitemap, robots, canonical, schema.org markup</t>
  </si>
  <si>
    <t xml:space="preserve">2.5</t>
  </si>
  <si>
    <t xml:space="preserve">[BLOCK B, due 9 Oct] Wire analytics and lead capture, end to end</t>
  </si>
  <si>
    <t xml:space="preserve">Depends on 0.11, the CRM is undecided</t>
  </si>
  <si>
    <t xml:space="preserve">2.6</t>
  </si>
  <si>
    <t xml:space="preserve">[BLOCK B, due 9 Oct] Tracking phone number as a config value, routed into GoTo</t>
  </si>
  <si>
    <t xml:space="preserve">Depends on 0.3</t>
  </si>
  <si>
    <t xml:space="preserve">2.7</t>
  </si>
  <si>
    <t xml:space="preserve">Build the new-site scaffold command that generates a site from config</t>
  </si>
  <si>
    <t xml:space="preserve">Deliberately crude: only renders the template from config, rewritten during the pilots. Without it, Gate A tests Pavel speed, not the factory</t>
  </si>
  <si>
    <t xml:space="preserve">2.11</t>
  </si>
  <si>
    <t xml:space="preserve">Branch preview deploys: Pavel pushes markdown and gets a URL with his site rendered</t>
  </si>
  <si>
    <t xml:space="preserve">W-098. Block A. Without it Pavel writes for three weeks without seeing his pages, or depends on Victor to show him. Built alongside 1.7</t>
  </si>
  <si>
    <t xml:space="preserve">2.8</t>
  </si>
  <si>
    <t xml:space="preserve">[BLOCK B] Build CI content differentiation gate that blocks deploys on cross-site similarity</t>
  </si>
  <si>
    <t xml:space="preserve">W-027. With one site live it has nothing to compare against: its first real test is Site #2 in mid October. Site #1 is protected by the per-page human audit that ships with the handoff</t>
  </si>
  <si>
    <t xml:space="preserve">2.9</t>
  </si>
  <si>
    <t xml:space="preserve">Write the QA and launch list: technical, SEO, content, mobile, conversion, tracking, deploy</t>
  </si>
  <si>
    <t xml:space="preserve">Pavel + Victor</t>
  </si>
  <si>
    <t xml:space="preserve">W-029. Block A. It is Pavel's definition of ready to publish, so it has to exist on 21 Sep or he writes for three weeks without knowing what he is writing toward. Automation is 2.12</t>
  </si>
  <si>
    <t xml:space="preserve">2.12</t>
  </si>
  <si>
    <t xml:space="preserve">[BLOCK B, due 9 Oct] Automate the automatable parts of the QA list, moving them from human judgement into CI</t>
  </si>
  <si>
    <t xml:space="preserve">W-099. Split from 2.9 on 26 Aug. The list itself is Block A because it is the definition of done; automating it only speeds it up</t>
  </si>
  <si>
    <t xml:space="preserve">2.10</t>
  </si>
  <si>
    <t xml:space="preserve">Handoff session with Pavel plus written documentation</t>
  </si>
  <si>
    <t xml:space="preserve">Exit check: Pavel generates an empty site unaided</t>
  </si>
  <si>
    <t xml:space="preserve">PHASE 3  |  Site #1, English  |  21 Sep - 9 Oct 2026  |  Owner: Pavel</t>
  </si>
  <si>
    <t xml:space="preserve">Phase 3</t>
  </si>
  <si>
    <t xml:space="preserve">3.1</t>
  </si>
  <si>
    <t xml:space="preserve">Generate Site #1 from its config file</t>
  </si>
  <si>
    <t xml:space="preserve">Generated, not hand built. START DATE AT RISK until 0.9 closes</t>
  </si>
  <si>
    <t xml:space="preserve">3.2</t>
  </si>
  <si>
    <t xml:space="preserve">Keyword and SERP research for the chosen niche</t>
  </si>
  <si>
    <t xml:space="preserve">3.3</t>
  </si>
  <si>
    <t xml:space="preserve">Write 15-25 pages of differentiated content</t>
  </si>
  <si>
    <t xml:space="preserve">Swap-the-city test must pass on every page</t>
  </si>
  <si>
    <t xml:space="preserve">3.4</t>
  </si>
  <si>
    <t xml:space="preserve">Provision and wire the tracking phone number</t>
  </si>
  <si>
    <t xml:space="preserve">3.5</t>
  </si>
  <si>
    <t xml:space="preserve">QA: Core Web Vitals, mobile, forms, lead routing end to end</t>
  </si>
  <si>
    <t xml:space="preserve">3.6</t>
  </si>
  <si>
    <t xml:space="preserve">Create Search Console property and submit sitemap</t>
  </si>
  <si>
    <t xml:space="preserve">3.7</t>
  </si>
  <si>
    <t xml:space="preserve">Launch Site #1</t>
  </si>
  <si>
    <t xml:space="preserve">Starts the 120-day clock for Gate B</t>
  </si>
  <si>
    <t xml:space="preserve">3.8</t>
  </si>
  <si>
    <t xml:space="preserve">Log hours spent, as the baseline for Gate A</t>
  </si>
  <si>
    <t xml:space="preserve">Log factory time, content time and vendor waits separately. A blended number is not comparable against Gate A</t>
  </si>
  <si>
    <t xml:space="preserve">PHASE 4  |  Site #2, Spanish  |  12 Oct - 30 Oct 2026  |  Owner: Pavel</t>
  </si>
  <si>
    <t xml:space="preserve">Phase 4</t>
  </si>
  <si>
    <t xml:space="preserve">4.1</t>
  </si>
  <si>
    <t xml:space="preserve">Generate Site #2 from its config file</t>
  </si>
  <si>
    <t xml:space="preserve">Validates the bilingual framework</t>
  </si>
  <si>
    <t xml:space="preserve">4.2</t>
  </si>
  <si>
    <t xml:space="preserve">Spanish keyword research for the Miami and Broward market</t>
  </si>
  <si>
    <t xml:space="preserve">4.3</t>
  </si>
  <si>
    <t xml:space="preserve">Write content natively in Spanish</t>
  </si>
  <si>
    <t xml:space="preserve">Written natively in Spanish by Pavel, never translated from English</t>
  </si>
  <si>
    <t xml:space="preserve">4.4</t>
  </si>
  <si>
    <t xml:space="preserve">Tracking number, QA and Search Console setup</t>
  </si>
  <si>
    <t xml:space="preserve">4.5</t>
  </si>
  <si>
    <t xml:space="preserve">Launch Site #2</t>
  </si>
  <si>
    <t xml:space="preserve">4.6</t>
  </si>
  <si>
    <t xml:space="preserve">Log hours spent</t>
  </si>
  <si>
    <t xml:space="preserve">Same three-way split as 3.8</t>
  </si>
  <si>
    <t xml:space="preserve">PHASE 5  |  Framework Refinement  |  2 Nov - 6 Nov 2026  |  Owner: Victor + Pavel</t>
  </si>
  <si>
    <t xml:space="preserve">Phase 5</t>
  </si>
  <si>
    <t xml:space="preserve">5.1</t>
  </si>
  <si>
    <t xml:space="preserve">Retro: catalogue everything that was manual across Sites #1 and #2</t>
  </si>
  <si>
    <t xml:space="preserve">5.2</t>
  </si>
  <si>
    <t xml:space="preserve">Fold fixes back into the template, the schema and the scaffold command</t>
  </si>
  <si>
    <t xml:space="preserve">5.3</t>
  </si>
  <si>
    <t xml:space="preserve">Update handoff documentation</t>
  </si>
  <si>
    <t xml:space="preserve">5.4</t>
  </si>
  <si>
    <t xml:space="preserve">Rehearse the full Gate A sequence against a throwaway config on a subdomain: no domain bought, no content written</t>
  </si>
  <si>
    <t xml:space="preserve">W-097. Finding a gap in the runbook this week costs an afternoon. Finding it on 10 Nov costs the gate</t>
  </si>
  <si>
    <t xml:space="preserve">GATE A  |  Repeatability Test, Site #3  |  9 Nov - 13 Nov 2026  |  Owner: Pavel, unassisted</t>
  </si>
  <si>
    <t xml:space="preserve">Gate A</t>
  </si>
  <si>
    <t xml:space="preserve">6.1</t>
  </si>
  <si>
    <t xml:space="preserve">Pavel picks the niche, then generates and launches Site #3 with no help from Victor</t>
  </si>
  <si>
    <t xml:space="preserve">GATE A. Pavel picks the niche himself. Content is prepared beforehand and does not count against the clock. Rehearsed in 5.4</t>
  </si>
  <si>
    <t xml:space="preserve">6.2</t>
  </si>
  <si>
    <t xml:space="preserve">Verify the four Gate A conditions and log every question the handoff failed to answer</t>
  </si>
  <si>
    <t xml:space="preserve">PASS requires all four. (1) Pavel's commits touch only sites/&lt;slug&gt;/**, checked with git diff --name-only. (2) Regenerating from site.config.json reproduces what shipped. (3) 2 working days or fewer of hands-on time, with vendor waits (SSL issuance, registry propagation, GoTo provisioning) logged and excluded. (4) Zero code written by Victor. Questions are counted and fed back into Phase 5 as documentation defects</t>
  </si>
  <si>
    <t xml:space="preserve">PHASE 7  |  Provisioning Automation  |  16 Nov - 11 Dec 2026  |  Owner: Victor + Pavel</t>
  </si>
  <si>
    <t xml:space="preserve">Phase 7</t>
  </si>
  <si>
    <t xml:space="preserve">7.1</t>
  </si>
  <si>
    <t xml:space="preserve">Domain registration through the Cloudflare Registrar API</t>
  </si>
  <si>
    <t xml:space="preserve">API is in beta: registration only, no renewals or transfers</t>
  </si>
  <si>
    <t xml:space="preserve">7.2</t>
  </si>
  <si>
    <t xml:space="preserve">Automate zone creation, DNS and custom domain attachment</t>
  </si>
  <si>
    <t xml:space="preserve">7.3</t>
  </si>
  <si>
    <t xml:space="preserve">Automate Search Console property creation and sitemap submission</t>
  </si>
  <si>
    <t xml:space="preserve">7.4</t>
  </si>
  <si>
    <t xml:space="preserve">Automate tracking number provisioning</t>
  </si>
  <si>
    <t xml:space="preserve">7.5</t>
  </si>
  <si>
    <t xml:space="preserve">Single end-to-end command: config in, live site out</t>
  </si>
  <si>
    <t xml:space="preserve">7.6</t>
  </si>
  <si>
    <t xml:space="preserve">Hand automation over to Pavel</t>
  </si>
  <si>
    <t xml:space="preserve">Victor moves to advisory only from here</t>
  </si>
  <si>
    <t xml:space="preserve">PHASE 8  |  SEO Data Window  |  12 Oct 2026 - 26 Feb 2027  |  Runs in parallel. No new sites beyond #3</t>
  </si>
  <si>
    <t xml:space="preserve">Phase 8</t>
  </si>
  <si>
    <t xml:space="preserve">8.1</t>
  </si>
  <si>
    <t xml:space="preserve">Monthly report: impressions, clicks, calls, quotes and sales by site</t>
  </si>
  <si>
    <t xml:space="preserve">New domains need 3-6 months before organic traffic means anything</t>
  </si>
  <si>
    <t xml:space="preserve">8.2</t>
  </si>
  <si>
    <t xml:space="preserve">Kevin reviews monthly against the Gate B criteria</t>
  </si>
  <si>
    <t xml:space="preserve">GATE B  |  Commercial Go / No-Go  |  1 Mar - 5 Mar 2027  |  Owner: Kevin  |  Moved so Site #2 gets its full 120 days</t>
  </si>
  <si>
    <t xml:space="preserve">Gate B</t>
  </si>
  <si>
    <t xml:space="preserve">9.1</t>
  </si>
  <si>
    <t xml:space="preserve">Review 120-day performance of Sites #1 and #2 against the criteria set in 0.7</t>
  </si>
  <si>
    <t xml:space="preserve">GATE B. Site #2 launched 30 Oct, its 120 days land 27 Feb</t>
  </si>
  <si>
    <t xml:space="preserve">9.2</t>
  </si>
  <si>
    <t xml:space="preserve">Decision: scale to 20, iterate on niche selection, or stop</t>
  </si>
  <si>
    <t xml:space="preserve">Pass: proceed to Phase 10. Fail: revisit niches or the microsite model itself</t>
  </si>
  <si>
    <t xml:space="preserve">PHASE 10  |  Scale to First 20 Sites  |  from 8 Mar 2027  |  Conditional on Gate B</t>
  </si>
  <si>
    <t xml:space="preserve">Phase 10</t>
  </si>
  <si>
    <t xml:space="preserve">10.1</t>
  </si>
  <si>
    <t xml:space="preserve">Build out sites #4 through #20 using the automated pipeline</t>
  </si>
  <si>
    <t xml:space="preserve">Only proceeds if Gate B passes. Dates are indicative</t>
  </si>
  <si>
    <t xml:space="preserve">Decision Gates</t>
  </si>
  <si>
    <t xml:space="preserve">The plan advances on evidence, not on elapsed time. Neither gate is a formality.</t>
  </si>
  <si>
    <t xml:space="preserve">Gate</t>
  </si>
  <si>
    <t xml:space="preserve">Question it answers</t>
  </si>
  <si>
    <t xml:space="preserve">Date</t>
  </si>
  <si>
    <t xml:space="preserve">Pass criterion</t>
  </si>
  <si>
    <t xml:space="preserve">If it fails</t>
  </si>
  <si>
    <t xml:space="preserve">Gate A
Technical</t>
  </si>
  <si>
    <t xml:space="preserve">Does the factory work?</t>
  </si>
  <si>
    <t xml:space="preserve">Four conditions, all required. Two are settled by a command: (1) nothing outside the site folder was edited by hand, checked with git diff --name-only; (2) regenerating the site from its config reproduces what shipped. Two more: (3) 2 working days or fewer of hands-on time, with waits on certificates, domain propagation and phone numbers logged and excluded; (4) zero code written by Victor, with every question the handoff failed to answer logged. Pavel picks the niche himself. Rehearsed against a throwaway config during the week of 2 November.</t>
  </si>
  <si>
    <t xml:space="preserve">Return to Phase 5. The framework is not repeatable yet, and building more sites would just multiply the manual work.</t>
  </si>
  <si>
    <t xml:space="preserve">Gate B
Commercial</t>
  </si>
  <si>
    <t xml:space="preserve">Do the sites produce business?</t>
  </si>
  <si>
    <t xml:space="preserve">Sites #1 and #2 hit the qualified-call target of activity 0.7, each measured 120 days after its own launch. Moved from 12 Feb because Site #2 launches 30 Oct and its 120 days land 27 Feb. The target is derived from three figures only Kevin has: average first-year commission per policy, the share of qualified calls that close, and the annual return per site that justifies building twenty more. Break-even is not the bar: a site costs about $26 a year to run, so break-even would pass even if the portfolio failed.</t>
  </si>
  <si>
    <t xml:space="preserve">Do not scale to 20. Either the niche selection is wrong and we retest, or the microsite model is not working for this market and we reconsider it.</t>
  </si>
  <si>
    <t xml:space="preserve">Why two gates and not one</t>
  </si>
  <si>
    <t xml:space="preserve">They answer different questions and they resolve on different timelines. Site #3 launching quickly proves the factory works, and we know that within weeks. Whether the sites produce calls depends on organic traffic, and a new domain needs three to six months before that means anything. Collapsing both into one milestone is how a team ends up with twenty sites that deploy beautifully and generate nothing. Phases 7 and 8 run in parallel precisely so the waiting period stays productive.</t>
  </si>
  <si>
    <t xml:space="preserve">How to use this schedule</t>
  </si>
  <si>
    <t xml:space="preserve">Item</t>
  </si>
  <si>
    <t xml:space="preserve">Detail</t>
  </si>
  <si>
    <t xml:space="preserve">Which cells to update</t>
  </si>
  <si>
    <t xml:space="preserve">Only the Status column on the Schedule tab, shaded pale yellow. If dates move, update Start and End and the Work Days column recalculates itself.</t>
  </si>
  <si>
    <t xml:space="preserve">Status values</t>
  </si>
  <si>
    <t xml:space="preserve">Not started  |  In progress  |  Blocked  |  Done</t>
  </si>
  <si>
    <t xml:space="preserve">Work Days column</t>
  </si>
  <si>
    <t xml:space="preserve">Formula: NETWORKDAYS(Start, End). Counts weekdays only and does not account for public holidays.</t>
  </si>
  <si>
    <t xml:space="preserve">Owner: Kevin</t>
  </si>
  <si>
    <t xml:space="preserve">Business direction, niche and market selection, domain approval, budget, and the Gate B decision.</t>
  </si>
  <si>
    <t xml:space="preserve">Owner: Victor</t>
  </si>
  <si>
    <t xml:space="preserve">Infrastructure and framework architecture through Phase 2, provisioning automation in Phase 7, advisory thereafter.</t>
  </si>
  <si>
    <t xml:space="preserve">Owner: Pavel</t>
  </si>
  <si>
    <t xml:space="preserve">Owns every site from Phase 3 onward: generation, SEO, QA, launch and reporting.</t>
  </si>
  <si>
    <t xml:space="preserve">Owner: Content owner</t>
  </si>
  <si>
    <t xml:space="preserve">Unassigned as of 24 Aug 2026. Activity 0.4 exists to close this. It is the largest cost line in the project.</t>
  </si>
  <si>
    <t xml:space="preserve">Assumption: SEO timeline</t>
  </si>
  <si>
    <t xml:space="preserve">New domains typically need three to six months to show meaningful organic traffic. Gate B is set 120 days after Site #1 launches.</t>
  </si>
  <si>
    <t xml:space="preserve">Assumption: Cloudflare</t>
  </si>
  <si>
    <t xml:space="preserve">Workers with Static Assets, not Pages. About $5 per month for the whole account regardless of site count.</t>
  </si>
  <si>
    <t xml:space="preserve">Assumption: domains</t>
  </si>
  <si>
    <t xml:space="preserve">Cloudflare Registrar at cost. A .com is about $11.15 per year from 1 Nov 2026, rising roughly 7 percent annually through 2029.</t>
  </si>
  <si>
    <t xml:space="preserve">Assumption: tracking numbers</t>
  </si>
  <si>
    <t xml:space="preserve">Not yet costed. Activity 0.3 exists to close this. The spread between options is $1,900 versus $6,000 to $18,000 per year at 100 numbers.</t>
  </si>
  <si>
    <t xml:space="preserve">Assumption: Phase 10 dates</t>
  </si>
  <si>
    <t xml:space="preserve">Indicative only. Nothing in Phase 10 begins unless Gate B passes.</t>
  </si>
  <si>
    <t xml:space="preserve">Phase 2 blocks</t>
  </si>
  <si>
    <t xml:space="preserve">Block A is gated by the 18 Sep handoff: schema, template, bilingual routing, generator, handoff. Block B is gated by the 9 Oct launch and is built during Phase 3. The CI differentiation gate must exist before the first content publishes, early October.</t>
  </si>
  <si>
    <t xml:space="preserve">Gate B date</t>
  </si>
  <si>
    <t xml:space="preserve">Moved from 12 Feb to 1-5 Mar 2027. Site #2 launches 30 Oct and its 120 days land 27 Feb, after the original gate date.</t>
  </si>
  <si>
    <t xml:space="preserve">Rule: AI and content</t>
  </si>
  <si>
    <t xml:space="preserve">Drafting with AI is allowed. Publishing without a human editing pass is not. Spanish is written from scratch by a fluent writer, never translated or generated from an English brief.</t>
  </si>
  <si>
    <t xml:space="preserve">Standing content rule</t>
  </si>
  <si>
    <t xml:space="preserve">Swap the city name on any page. If nothing else has to change, that page is a doorway page by Google's definition and does not ship. Activity 2.8 enforces this automatically in CI.</t>
  </si>
</sst>
</file>

<file path=xl/styles.xml><?xml version="1.0" encoding="utf-8"?>
<styleSheet xmlns="http://schemas.openxmlformats.org/spreadsheetml/2006/main">
  <numFmts count="2">
    <numFmt numFmtId="164" formatCode="General"/>
    <numFmt numFmtId="165" formatCode="dd\-mmm\-yy"/>
  </numFmts>
  <fonts count="12">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95959"/>
      <name val="Arial"/>
      <family val="0"/>
      <charset val="1"/>
    </font>
    <font>
      <sz val="9"/>
      <color rgb="FF808080"/>
      <name val="Arial"/>
      <family val="0"/>
      <charset val="1"/>
    </font>
    <font>
      <b val="true"/>
      <sz val="10"/>
      <color rgb="FFFFFFFF"/>
      <name val="Arial"/>
      <family val="0"/>
      <charset val="1"/>
    </font>
    <font>
      <b val="true"/>
      <sz val="10"/>
      <color rgb="FF1F3864"/>
      <name val="Arial"/>
      <family val="0"/>
      <charset val="1"/>
    </font>
    <font>
      <sz val="10"/>
      <name val="Arial"/>
      <family val="0"/>
      <charset val="1"/>
    </font>
    <font>
      <b val="true"/>
      <sz val="10"/>
      <name val="Arial"/>
      <family val="0"/>
      <charset val="1"/>
    </font>
    <font>
      <b val="true"/>
      <sz val="11"/>
      <color rgb="FF1F3864"/>
      <name val="Arial"/>
      <family val="0"/>
      <charset val="1"/>
    </font>
  </fonts>
  <fills count="6">
    <fill>
      <patternFill patternType="none"/>
    </fill>
    <fill>
      <patternFill patternType="gray125"/>
    </fill>
    <fill>
      <patternFill patternType="solid">
        <fgColor rgb="FF2E5C9A"/>
        <bgColor rgb="FF333399"/>
      </patternFill>
    </fill>
    <fill>
      <patternFill patternType="solid">
        <fgColor rgb="FFDCE6F1"/>
        <bgColor rgb="FFCCFFFF"/>
      </patternFill>
    </fill>
    <fill>
      <patternFill patternType="solid">
        <fgColor rgb="FFFFFFCC"/>
        <bgColor rgb="FFFFF2CC"/>
      </patternFill>
    </fill>
    <fill>
      <patternFill patternType="solid">
        <fgColor rgb="FFFFF2CC"/>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false" indent="1"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1"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5" fontId="10" fillId="5" borderId="1" xfId="0" applyFont="true" applyBorder="true" applyAlignment="true" applyProtection="false">
      <alignment horizontal="center" vertical="top" textRotation="0" wrapText="false" indent="0" shrinkToFit="false"/>
      <protection locked="true" hidden="false"/>
    </xf>
    <xf numFmtId="164" fontId="10" fillId="4"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5" fontId="9" fillId="5"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E5C9A"/>
          <bgColor rgb="FF000000"/>
        </patternFill>
      </fill>
    </dxf>
    <dxf>
      <fill>
        <patternFill patternType="solid">
          <fgColor rgb="FFDCE6F1"/>
          <bgColor rgb="FF000000"/>
        </patternFill>
      </fill>
    </dxf>
    <dxf>
      <fill>
        <patternFill patternType="solid">
          <fgColor rgb="FFFFF2CC"/>
          <bgColor rgb="FF000000"/>
        </patternFill>
      </fill>
    </dxf>
    <dxf>
      <fill>
        <patternFill patternType="solid">
          <bgColor rgb="FF000000"/>
        </patternFill>
      </fill>
    </dxf>
    <dxf>
      <fill>
        <patternFill patternType="solid">
          <fgColor rgb="FF1F3864"/>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FF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2E5C9A"/>
      <rgbColor rgb="FFCCCCFF"/>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7"/>
    <col collapsed="false" customWidth="true" hidden="false" outlineLevel="0" max="3" min="3" style="1" width="62"/>
    <col collapsed="false" customWidth="true" hidden="false" outlineLevel="0" max="4" min="4" style="1" width="15"/>
    <col collapsed="false" customWidth="true" hidden="false" outlineLevel="0" max="6" min="5" style="1" width="11"/>
    <col collapsed="false" customWidth="true" hidden="false" outlineLevel="0" max="7" min="7" style="1" width="10"/>
    <col collapsed="false" customWidth="true" hidden="false" outlineLevel="0" max="8" min="8" style="1" width="13"/>
    <col collapsed="false" customWidth="true" hidden="false" outlineLevel="0" max="9" min="9" style="1" width="46"/>
  </cols>
  <sheetData>
    <row r="1" customFormat="false" ht="18"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5" customFormat="false" ht="25.5" hidden="false" customHeight="true" outlineLevel="0" collapsed="false">
      <c r="A5" s="5" t="s">
        <v>3</v>
      </c>
      <c r="B5" s="5" t="s">
        <v>4</v>
      </c>
      <c r="C5" s="5" t="s">
        <v>5</v>
      </c>
      <c r="D5" s="5" t="s">
        <v>6</v>
      </c>
      <c r="E5" s="5" t="s">
        <v>7</v>
      </c>
      <c r="F5" s="5" t="s">
        <v>8</v>
      </c>
      <c r="G5" s="5" t="s">
        <v>9</v>
      </c>
      <c r="H5" s="5" t="s">
        <v>10</v>
      </c>
      <c r="I5" s="5" t="s">
        <v>11</v>
      </c>
    </row>
    <row r="6" customFormat="false" ht="19.5" hidden="false" customHeight="true" outlineLevel="0" collapsed="false">
      <c r="A6" s="6" t="s">
        <v>12</v>
      </c>
      <c r="B6" s="6"/>
      <c r="C6" s="6"/>
      <c r="D6" s="6"/>
      <c r="E6" s="6"/>
      <c r="F6" s="6"/>
      <c r="G6" s="6"/>
      <c r="H6" s="6"/>
      <c r="I6" s="6"/>
    </row>
    <row r="7" customFormat="false" ht="15" hidden="false" customHeight="true" outlineLevel="0" collapsed="false">
      <c r="A7" s="7" t="s">
        <v>13</v>
      </c>
      <c r="B7" s="8" t="s">
        <v>14</v>
      </c>
      <c r="C7" s="9" t="s">
        <v>15</v>
      </c>
      <c r="D7" s="7" t="s">
        <v>16</v>
      </c>
      <c r="E7" s="10" t="n">
        <v>46258</v>
      </c>
      <c r="F7" s="10" t="n">
        <v>46260</v>
      </c>
      <c r="G7" s="8" t="n">
        <f aca="false">NETWORKDAYS(E7,F7)</f>
        <v>3</v>
      </c>
      <c r="H7" s="11" t="s">
        <v>17</v>
      </c>
      <c r="I7" s="9"/>
    </row>
    <row r="8" customFormat="false" ht="23.25" hidden="false" customHeight="true" outlineLevel="0" collapsed="false">
      <c r="A8" s="7" t="s">
        <v>13</v>
      </c>
      <c r="B8" s="8" t="s">
        <v>18</v>
      </c>
      <c r="C8" s="9" t="s">
        <v>19</v>
      </c>
      <c r="D8" s="7" t="s">
        <v>20</v>
      </c>
      <c r="E8" s="10" t="n">
        <v>46258</v>
      </c>
      <c r="F8" s="10" t="n">
        <v>46260</v>
      </c>
      <c r="G8" s="8" t="n">
        <f aca="false">NETWORKDAYS(E8,F8)</f>
        <v>3</v>
      </c>
      <c r="H8" s="11" t="s">
        <v>17</v>
      </c>
      <c r="I8" s="9"/>
    </row>
    <row r="9" customFormat="false" ht="23.25" hidden="false" customHeight="true" outlineLevel="0" collapsed="false">
      <c r="A9" s="7" t="s">
        <v>13</v>
      </c>
      <c r="B9" s="8" t="s">
        <v>21</v>
      </c>
      <c r="C9" s="9" t="s">
        <v>22</v>
      </c>
      <c r="D9" s="7" t="s">
        <v>20</v>
      </c>
      <c r="E9" s="10" t="n">
        <v>46258</v>
      </c>
      <c r="F9" s="10" t="n">
        <v>46262</v>
      </c>
      <c r="G9" s="8" t="n">
        <f aca="false">NETWORKDAYS(E9,F9)</f>
        <v>5</v>
      </c>
      <c r="H9" s="11" t="s">
        <v>23</v>
      </c>
      <c r="I9" s="9" t="s">
        <v>24</v>
      </c>
    </row>
    <row r="10" customFormat="false" ht="15" hidden="false" customHeight="true" outlineLevel="0" collapsed="false">
      <c r="A10" s="7" t="s">
        <v>13</v>
      </c>
      <c r="B10" s="8" t="s">
        <v>25</v>
      </c>
      <c r="C10" s="9" t="s">
        <v>26</v>
      </c>
      <c r="D10" s="7" t="s">
        <v>20</v>
      </c>
      <c r="E10" s="10" t="n">
        <v>46258</v>
      </c>
      <c r="F10" s="10" t="n">
        <v>46262</v>
      </c>
      <c r="G10" s="8" t="n">
        <f aca="false">NETWORKDAYS(E10,F10)</f>
        <v>5</v>
      </c>
      <c r="H10" s="11" t="s">
        <v>23</v>
      </c>
      <c r="I10" s="9" t="s">
        <v>27</v>
      </c>
    </row>
    <row r="11" customFormat="false" ht="15" hidden="false" customHeight="true" outlineLevel="0" collapsed="false">
      <c r="A11" s="7" t="s">
        <v>13</v>
      </c>
      <c r="B11" s="8" t="s">
        <v>28</v>
      </c>
      <c r="C11" s="9" t="s">
        <v>29</v>
      </c>
      <c r="D11" s="7" t="s">
        <v>20</v>
      </c>
      <c r="E11" s="10" t="n">
        <v>46258</v>
      </c>
      <c r="F11" s="10" t="n">
        <v>46262</v>
      </c>
      <c r="G11" s="8" t="n">
        <f aca="false">NETWORKDAYS(E11,F11)</f>
        <v>5</v>
      </c>
      <c r="H11" s="11" t="s">
        <v>17</v>
      </c>
      <c r="I11" s="9"/>
    </row>
    <row r="12" customFormat="false" ht="15" hidden="false" customHeight="true" outlineLevel="0" collapsed="false">
      <c r="A12" s="7" t="s">
        <v>13</v>
      </c>
      <c r="B12" s="8" t="s">
        <v>30</v>
      </c>
      <c r="C12" s="9" t="s">
        <v>31</v>
      </c>
      <c r="D12" s="7" t="s">
        <v>20</v>
      </c>
      <c r="E12" s="10" t="n">
        <v>46258</v>
      </c>
      <c r="F12" s="10" t="n">
        <v>46262</v>
      </c>
      <c r="G12" s="8" t="n">
        <f aca="false">NETWORKDAYS(E12,F12)</f>
        <v>5</v>
      </c>
      <c r="H12" s="11" t="s">
        <v>17</v>
      </c>
      <c r="I12" s="9"/>
    </row>
    <row r="13" customFormat="false" ht="15" hidden="false" customHeight="true" outlineLevel="0" collapsed="false">
      <c r="A13" s="7" t="s">
        <v>13</v>
      </c>
      <c r="B13" s="8" t="s">
        <v>32</v>
      </c>
      <c r="C13" s="9" t="s">
        <v>33</v>
      </c>
      <c r="D13" s="7" t="s">
        <v>34</v>
      </c>
      <c r="E13" s="10" t="n">
        <v>46258</v>
      </c>
      <c r="F13" s="10" t="n">
        <v>46262</v>
      </c>
      <c r="G13" s="8" t="n">
        <f aca="false">NETWORKDAYS(E13,F13)</f>
        <v>5</v>
      </c>
      <c r="H13" s="11" t="s">
        <v>17</v>
      </c>
      <c r="I13" s="9" t="s">
        <v>35</v>
      </c>
    </row>
    <row r="14" customFormat="false" ht="15" hidden="false" customHeight="true" outlineLevel="0" collapsed="false">
      <c r="A14" s="7" t="s">
        <v>13</v>
      </c>
      <c r="B14" s="8" t="s">
        <v>36</v>
      </c>
      <c r="C14" s="9" t="s">
        <v>37</v>
      </c>
      <c r="D14" s="7" t="s">
        <v>20</v>
      </c>
      <c r="E14" s="10" t="n">
        <v>46258</v>
      </c>
      <c r="F14" s="10" t="n">
        <v>46262</v>
      </c>
      <c r="G14" s="8" t="n">
        <f aca="false">NETWORKDAYS(E14,F14)</f>
        <v>5</v>
      </c>
      <c r="H14" s="11" t="s">
        <v>17</v>
      </c>
      <c r="I14" s="9" t="s">
        <v>38</v>
      </c>
    </row>
    <row r="15" customFormat="false" ht="23.25" hidden="false" customHeight="true" outlineLevel="0" collapsed="false">
      <c r="A15" s="7" t="s">
        <v>13</v>
      </c>
      <c r="B15" s="8" t="s">
        <v>39</v>
      </c>
      <c r="C15" s="9" t="s">
        <v>40</v>
      </c>
      <c r="D15" s="7" t="s">
        <v>41</v>
      </c>
      <c r="E15" s="10" t="n">
        <v>46258</v>
      </c>
      <c r="F15" s="10" t="n">
        <v>46262</v>
      </c>
      <c r="G15" s="8" t="n">
        <f aca="false">NETWORKDAYS(E15,F15)</f>
        <v>5</v>
      </c>
      <c r="H15" s="11" t="s">
        <v>23</v>
      </c>
      <c r="I15" s="9" t="s">
        <v>42</v>
      </c>
    </row>
    <row r="16" customFormat="false" ht="23.25" hidden="false" customHeight="true" outlineLevel="0" collapsed="false">
      <c r="A16" s="7" t="s">
        <v>13</v>
      </c>
      <c r="B16" s="8" t="s">
        <v>43</v>
      </c>
      <c r="C16" s="9" t="s">
        <v>44</v>
      </c>
      <c r="D16" s="7" t="s">
        <v>20</v>
      </c>
      <c r="E16" s="10" t="n">
        <v>46260</v>
      </c>
      <c r="F16" s="10" t="n">
        <v>46269</v>
      </c>
      <c r="G16" s="8" t="n">
        <f aca="false">NETWORKDAYS(E16,F16)</f>
        <v>8</v>
      </c>
      <c r="H16" s="11" t="s">
        <v>17</v>
      </c>
      <c r="I16" s="9" t="s">
        <v>45</v>
      </c>
    </row>
    <row r="17" customFormat="false" ht="23.25" hidden="false" customHeight="true" outlineLevel="0" collapsed="false">
      <c r="A17" s="7" t="s">
        <v>13</v>
      </c>
      <c r="B17" s="8" t="s">
        <v>46</v>
      </c>
      <c r="C17" s="9" t="s">
        <v>47</v>
      </c>
      <c r="D17" s="7" t="s">
        <v>20</v>
      </c>
      <c r="E17" s="10" t="n">
        <v>46258</v>
      </c>
      <c r="F17" s="10" t="n">
        <v>46269</v>
      </c>
      <c r="G17" s="8" t="n">
        <f aca="false">NETWORKDAYS(E17,F17)</f>
        <v>10</v>
      </c>
      <c r="H17" s="11" t="s">
        <v>17</v>
      </c>
      <c r="I17" s="9" t="s">
        <v>48</v>
      </c>
    </row>
    <row r="18" customFormat="false" ht="23.25" hidden="false" customHeight="true" outlineLevel="0" collapsed="false">
      <c r="A18" s="7" t="s">
        <v>13</v>
      </c>
      <c r="B18" s="8" t="s">
        <v>49</v>
      </c>
      <c r="C18" s="9" t="s">
        <v>50</v>
      </c>
      <c r="D18" s="7" t="s">
        <v>34</v>
      </c>
      <c r="E18" s="10" t="n">
        <v>46279</v>
      </c>
      <c r="F18" s="10" t="n">
        <v>46290</v>
      </c>
      <c r="G18" s="8" t="n">
        <f aca="false">NETWORKDAYS(E18,F18)</f>
        <v>10</v>
      </c>
      <c r="H18" s="11" t="s">
        <v>17</v>
      </c>
      <c r="I18" s="9" t="s">
        <v>51</v>
      </c>
    </row>
    <row r="19" customFormat="false" ht="19.5" hidden="false" customHeight="true" outlineLevel="0" collapsed="false">
      <c r="A19" s="6" t="s">
        <v>52</v>
      </c>
      <c r="B19" s="6"/>
      <c r="C19" s="6"/>
      <c r="D19" s="6"/>
      <c r="E19" s="6"/>
      <c r="F19" s="6"/>
      <c r="G19" s="6"/>
      <c r="H19" s="6"/>
      <c r="I19" s="6"/>
    </row>
    <row r="20" customFormat="false" ht="23.25" hidden="false" customHeight="true" outlineLevel="0" collapsed="false">
      <c r="A20" s="7" t="s">
        <v>53</v>
      </c>
      <c r="B20" s="8" t="s">
        <v>54</v>
      </c>
      <c r="C20" s="9" t="s">
        <v>55</v>
      </c>
      <c r="D20" s="7" t="s">
        <v>56</v>
      </c>
      <c r="E20" s="10" t="n">
        <v>46265</v>
      </c>
      <c r="F20" s="10" t="n">
        <v>46265</v>
      </c>
      <c r="G20" s="8" t="n">
        <f aca="false">NETWORKDAYS(E20,F20)</f>
        <v>1</v>
      </c>
      <c r="H20" s="11" t="s">
        <v>17</v>
      </c>
      <c r="I20" s="9" t="s">
        <v>57</v>
      </c>
    </row>
    <row r="21" customFormat="false" ht="15" hidden="false" customHeight="true" outlineLevel="0" collapsed="false">
      <c r="A21" s="7" t="s">
        <v>53</v>
      </c>
      <c r="B21" s="8" t="s">
        <v>58</v>
      </c>
      <c r="C21" s="9" t="s">
        <v>59</v>
      </c>
      <c r="D21" s="7" t="s">
        <v>56</v>
      </c>
      <c r="E21" s="10" t="n">
        <v>46265</v>
      </c>
      <c r="F21" s="10" t="n">
        <v>46265</v>
      </c>
      <c r="G21" s="8" t="n">
        <f aca="false">NETWORKDAYS(E21,F21)</f>
        <v>1</v>
      </c>
      <c r="H21" s="11" t="s">
        <v>17</v>
      </c>
      <c r="I21" s="9"/>
    </row>
    <row r="22" customFormat="false" ht="15" hidden="false" customHeight="true" outlineLevel="0" collapsed="false">
      <c r="A22" s="7" t="s">
        <v>53</v>
      </c>
      <c r="B22" s="8" t="s">
        <v>60</v>
      </c>
      <c r="C22" s="9" t="s">
        <v>61</v>
      </c>
      <c r="D22" s="7" t="s">
        <v>56</v>
      </c>
      <c r="E22" s="10" t="n">
        <v>46265</v>
      </c>
      <c r="F22" s="10" t="n">
        <v>46265</v>
      </c>
      <c r="G22" s="8" t="n">
        <f aca="false">NETWORKDAYS(E22,F22)</f>
        <v>1</v>
      </c>
      <c r="H22" s="11" t="s">
        <v>17</v>
      </c>
      <c r="I22" s="9"/>
    </row>
    <row r="23" customFormat="false" ht="15" hidden="false" customHeight="true" outlineLevel="0" collapsed="false">
      <c r="A23" s="7" t="s">
        <v>53</v>
      </c>
      <c r="B23" s="8" t="s">
        <v>62</v>
      </c>
      <c r="C23" s="9" t="s">
        <v>63</v>
      </c>
      <c r="D23" s="7" t="s">
        <v>56</v>
      </c>
      <c r="E23" s="10" t="n">
        <v>46265</v>
      </c>
      <c r="F23" s="10" t="n">
        <v>46266</v>
      </c>
      <c r="G23" s="8" t="n">
        <f aca="false">NETWORKDAYS(E23,F23)</f>
        <v>2</v>
      </c>
      <c r="H23" s="11" t="s">
        <v>17</v>
      </c>
      <c r="I23" s="9"/>
    </row>
    <row r="24" customFormat="false" ht="34.5" hidden="false" customHeight="true" outlineLevel="0" collapsed="false">
      <c r="A24" s="7" t="s">
        <v>53</v>
      </c>
      <c r="B24" s="8" t="s">
        <v>64</v>
      </c>
      <c r="C24" s="9" t="s">
        <v>65</v>
      </c>
      <c r="D24" s="7" t="s">
        <v>41</v>
      </c>
      <c r="E24" s="10" t="n">
        <v>46265</v>
      </c>
      <c r="F24" s="10" t="n">
        <v>46269</v>
      </c>
      <c r="G24" s="8" t="n">
        <f aca="false">NETWORKDAYS(E24,F24)</f>
        <v>5</v>
      </c>
      <c r="H24" s="11" t="s">
        <v>17</v>
      </c>
      <c r="I24" s="9" t="s">
        <v>66</v>
      </c>
    </row>
    <row r="25" customFormat="false" ht="23.25" hidden="false" customHeight="true" outlineLevel="0" collapsed="false">
      <c r="A25" s="7" t="s">
        <v>53</v>
      </c>
      <c r="B25" s="8" t="s">
        <v>67</v>
      </c>
      <c r="C25" s="9" t="s">
        <v>68</v>
      </c>
      <c r="D25" s="7" t="s">
        <v>56</v>
      </c>
      <c r="E25" s="10" t="n">
        <v>46267</v>
      </c>
      <c r="F25" s="10" t="n">
        <v>46268</v>
      </c>
      <c r="G25" s="8" t="n">
        <f aca="false">NETWORKDAYS(E25,F25)</f>
        <v>2</v>
      </c>
      <c r="H25" s="11" t="s">
        <v>17</v>
      </c>
      <c r="I25" s="9" t="s">
        <v>69</v>
      </c>
    </row>
    <row r="26" customFormat="false" ht="15" hidden="false" customHeight="true" outlineLevel="0" collapsed="false">
      <c r="A26" s="7" t="s">
        <v>53</v>
      </c>
      <c r="B26" s="8" t="s">
        <v>70</v>
      </c>
      <c r="C26" s="9" t="s">
        <v>71</v>
      </c>
      <c r="D26" s="7" t="s">
        <v>56</v>
      </c>
      <c r="E26" s="10" t="n">
        <v>46267</v>
      </c>
      <c r="F26" s="10" t="n">
        <v>46269</v>
      </c>
      <c r="G26" s="8" t="n">
        <f aca="false">NETWORKDAYS(E26,F26)</f>
        <v>3</v>
      </c>
      <c r="H26" s="11" t="s">
        <v>17</v>
      </c>
      <c r="I26" s="9"/>
    </row>
    <row r="27" customFormat="false" ht="15" hidden="false" customHeight="true" outlineLevel="0" collapsed="false">
      <c r="A27" s="7" t="s">
        <v>53</v>
      </c>
      <c r="B27" s="8" t="s">
        <v>72</v>
      </c>
      <c r="C27" s="9" t="s">
        <v>73</v>
      </c>
      <c r="D27" s="7" t="s">
        <v>56</v>
      </c>
      <c r="E27" s="10" t="n">
        <v>46268</v>
      </c>
      <c r="F27" s="10" t="n">
        <v>46269</v>
      </c>
      <c r="G27" s="8" t="n">
        <f aca="false">NETWORKDAYS(E27,F27)</f>
        <v>2</v>
      </c>
      <c r="H27" s="11" t="s">
        <v>17</v>
      </c>
      <c r="I27" s="9" t="s">
        <v>74</v>
      </c>
    </row>
    <row r="28" customFormat="false" ht="19.5" hidden="false" customHeight="true" outlineLevel="0" collapsed="false">
      <c r="A28" s="6" t="s">
        <v>75</v>
      </c>
      <c r="B28" s="6"/>
      <c r="C28" s="6"/>
      <c r="D28" s="6"/>
      <c r="E28" s="6"/>
      <c r="F28" s="6"/>
      <c r="G28" s="6"/>
      <c r="H28" s="6"/>
      <c r="I28" s="6"/>
    </row>
    <row r="29" customFormat="false" ht="23.25" hidden="false" customHeight="true" outlineLevel="0" collapsed="false">
      <c r="A29" s="7" t="s">
        <v>76</v>
      </c>
      <c r="B29" s="8" t="s">
        <v>77</v>
      </c>
      <c r="C29" s="9" t="s">
        <v>78</v>
      </c>
      <c r="D29" s="7" t="s">
        <v>20</v>
      </c>
      <c r="E29" s="10" t="n">
        <v>46272</v>
      </c>
      <c r="F29" s="10" t="n">
        <v>46272</v>
      </c>
      <c r="G29" s="8" t="n">
        <f aca="false">NETWORKDAYS(E29,F29)</f>
        <v>1</v>
      </c>
      <c r="H29" s="11" t="s">
        <v>17</v>
      </c>
      <c r="I29" s="9" t="s">
        <v>79</v>
      </c>
    </row>
    <row r="30" customFormat="false" ht="15" hidden="false" customHeight="true" outlineLevel="0" collapsed="false">
      <c r="A30" s="7" t="s">
        <v>76</v>
      </c>
      <c r="B30" s="8" t="s">
        <v>80</v>
      </c>
      <c r="C30" s="9" t="s">
        <v>81</v>
      </c>
      <c r="D30" s="7" t="s">
        <v>56</v>
      </c>
      <c r="E30" s="10" t="n">
        <v>46273</v>
      </c>
      <c r="F30" s="10" t="n">
        <v>46273</v>
      </c>
      <c r="G30" s="8" t="n">
        <f aca="false">NETWORKDAYS(E30,F30)</f>
        <v>1</v>
      </c>
      <c r="H30" s="11" t="s">
        <v>17</v>
      </c>
      <c r="I30" s="9" t="s">
        <v>82</v>
      </c>
    </row>
    <row r="31" customFormat="false" ht="23.25" hidden="false" customHeight="true" outlineLevel="0" collapsed="false">
      <c r="A31" s="7" t="s">
        <v>76</v>
      </c>
      <c r="B31" s="8" t="s">
        <v>83</v>
      </c>
      <c r="C31" s="9" t="s">
        <v>84</v>
      </c>
      <c r="D31" s="7" t="s">
        <v>56</v>
      </c>
      <c r="E31" s="10" t="n">
        <v>46273</v>
      </c>
      <c r="F31" s="10" t="n">
        <v>46273</v>
      </c>
      <c r="G31" s="8" t="n">
        <f aca="false">NETWORKDAYS(E31,F31)</f>
        <v>1</v>
      </c>
      <c r="H31" s="11" t="s">
        <v>17</v>
      </c>
      <c r="I31" s="9" t="s">
        <v>85</v>
      </c>
    </row>
    <row r="32" customFormat="false" ht="19.5" hidden="false" customHeight="true" outlineLevel="0" collapsed="false">
      <c r="A32" s="6" t="s">
        <v>86</v>
      </c>
      <c r="B32" s="6"/>
      <c r="C32" s="6"/>
      <c r="D32" s="6"/>
      <c r="E32" s="6"/>
      <c r="F32" s="6"/>
      <c r="G32" s="6"/>
      <c r="H32" s="6"/>
      <c r="I32" s="6"/>
    </row>
    <row r="33" customFormat="false" ht="23.25" hidden="false" customHeight="true" outlineLevel="0" collapsed="false">
      <c r="A33" s="7" t="s">
        <v>87</v>
      </c>
      <c r="B33" s="8" t="s">
        <v>88</v>
      </c>
      <c r="C33" s="9" t="s">
        <v>89</v>
      </c>
      <c r="D33" s="7" t="s">
        <v>41</v>
      </c>
      <c r="E33" s="10" t="n">
        <v>46265</v>
      </c>
      <c r="F33" s="10" t="n">
        <v>46276</v>
      </c>
      <c r="G33" s="8" t="n">
        <f aca="false">NETWORKDAYS(E33,F33)</f>
        <v>10</v>
      </c>
      <c r="H33" s="11" t="s">
        <v>17</v>
      </c>
      <c r="I33" s="9" t="s">
        <v>90</v>
      </c>
    </row>
    <row r="34" customFormat="false" ht="23.25" hidden="false" customHeight="true" outlineLevel="0" collapsed="false">
      <c r="A34" s="7" t="s">
        <v>87</v>
      </c>
      <c r="B34" s="8" t="s">
        <v>91</v>
      </c>
      <c r="C34" s="9" t="s">
        <v>92</v>
      </c>
      <c r="D34" s="7" t="s">
        <v>41</v>
      </c>
      <c r="E34" s="10" t="n">
        <v>46272</v>
      </c>
      <c r="F34" s="10" t="n">
        <v>46283</v>
      </c>
      <c r="G34" s="8" t="n">
        <f aca="false">NETWORKDAYS(E34,F34)</f>
        <v>10</v>
      </c>
      <c r="H34" s="11" t="s">
        <v>17</v>
      </c>
      <c r="I34" s="9" t="s">
        <v>93</v>
      </c>
    </row>
    <row r="35" customFormat="false" ht="15" hidden="false" customHeight="true" outlineLevel="0" collapsed="false">
      <c r="A35" s="7" t="s">
        <v>87</v>
      </c>
      <c r="B35" s="8" t="s">
        <v>94</v>
      </c>
      <c r="C35" s="9" t="s">
        <v>95</v>
      </c>
      <c r="D35" s="7" t="s">
        <v>41</v>
      </c>
      <c r="E35" s="10" t="n">
        <v>46272</v>
      </c>
      <c r="F35" s="10" t="n">
        <v>46283</v>
      </c>
      <c r="G35" s="8" t="n">
        <f aca="false">NETWORKDAYS(E35,F35)</f>
        <v>10</v>
      </c>
      <c r="H35" s="11" t="s">
        <v>17</v>
      </c>
      <c r="I35" s="9" t="s">
        <v>93</v>
      </c>
    </row>
    <row r="36" customFormat="false" ht="34.5" hidden="false" customHeight="true" outlineLevel="0" collapsed="false">
      <c r="A36" s="7" t="s">
        <v>87</v>
      </c>
      <c r="B36" s="8" t="s">
        <v>96</v>
      </c>
      <c r="C36" s="9" t="s">
        <v>97</v>
      </c>
      <c r="D36" s="7" t="s">
        <v>41</v>
      </c>
      <c r="E36" s="10" t="n">
        <v>46273</v>
      </c>
      <c r="F36" s="10" t="n">
        <v>46283</v>
      </c>
      <c r="G36" s="8" t="n">
        <f aca="false">NETWORKDAYS(E36,F36)</f>
        <v>9</v>
      </c>
      <c r="H36" s="11" t="s">
        <v>17</v>
      </c>
      <c r="I36" s="9" t="s">
        <v>98</v>
      </c>
    </row>
    <row r="37" customFormat="false" ht="19.5" hidden="false" customHeight="true" outlineLevel="0" collapsed="false">
      <c r="A37" s="6" t="s">
        <v>99</v>
      </c>
      <c r="B37" s="6"/>
      <c r="C37" s="6"/>
      <c r="D37" s="6"/>
      <c r="E37" s="6"/>
      <c r="F37" s="6"/>
      <c r="G37" s="6"/>
      <c r="H37" s="6"/>
      <c r="I37" s="6"/>
    </row>
    <row r="38" customFormat="false" ht="23.25" hidden="false" customHeight="true" outlineLevel="0" collapsed="false">
      <c r="A38" s="7" t="s">
        <v>100</v>
      </c>
      <c r="B38" s="8" t="s">
        <v>101</v>
      </c>
      <c r="C38" s="9" t="s">
        <v>102</v>
      </c>
      <c r="D38" s="7" t="s">
        <v>56</v>
      </c>
      <c r="E38" s="10" t="n">
        <v>46273</v>
      </c>
      <c r="F38" s="10" t="n">
        <v>46275</v>
      </c>
      <c r="G38" s="8" t="n">
        <f aca="false">NETWORKDAYS(E38,F38)</f>
        <v>3</v>
      </c>
      <c r="H38" s="11" t="s">
        <v>17</v>
      </c>
      <c r="I38" s="9" t="s">
        <v>103</v>
      </c>
    </row>
    <row r="39" customFormat="false" ht="15" hidden="false" customHeight="true" outlineLevel="0" collapsed="false">
      <c r="A39" s="7" t="s">
        <v>100</v>
      </c>
      <c r="B39" s="8" t="s">
        <v>104</v>
      </c>
      <c r="C39" s="9" t="s">
        <v>105</v>
      </c>
      <c r="D39" s="7" t="s">
        <v>106</v>
      </c>
      <c r="E39" s="10" t="n">
        <v>46273</v>
      </c>
      <c r="F39" s="10" t="n">
        <v>46279</v>
      </c>
      <c r="G39" s="8" t="n">
        <f aca="false">NETWORKDAYS(E39,F39)</f>
        <v>5</v>
      </c>
      <c r="H39" s="11" t="s">
        <v>17</v>
      </c>
      <c r="I39" s="9"/>
    </row>
    <row r="40" customFormat="false" ht="15" hidden="false" customHeight="true" outlineLevel="0" collapsed="false">
      <c r="A40" s="7" t="s">
        <v>100</v>
      </c>
      <c r="B40" s="8" t="s">
        <v>107</v>
      </c>
      <c r="C40" s="9" t="s">
        <v>108</v>
      </c>
      <c r="D40" s="7" t="s">
        <v>56</v>
      </c>
      <c r="E40" s="10" t="n">
        <v>46275</v>
      </c>
      <c r="F40" s="10" t="n">
        <v>46279</v>
      </c>
      <c r="G40" s="8" t="n">
        <f aca="false">NETWORKDAYS(E40,F40)</f>
        <v>3</v>
      </c>
      <c r="H40" s="11" t="s">
        <v>17</v>
      </c>
      <c r="I40" s="9" t="s">
        <v>109</v>
      </c>
    </row>
    <row r="41" customFormat="false" ht="23.25" hidden="false" customHeight="true" outlineLevel="0" collapsed="false">
      <c r="A41" s="7" t="s">
        <v>110</v>
      </c>
      <c r="B41" s="8" t="s">
        <v>111</v>
      </c>
      <c r="C41" s="9" t="s">
        <v>112</v>
      </c>
      <c r="D41" s="7" t="s">
        <v>56</v>
      </c>
      <c r="E41" s="10" t="n">
        <v>46279</v>
      </c>
      <c r="F41" s="10" t="n">
        <v>46281</v>
      </c>
      <c r="G41" s="8" t="n">
        <f aca="false">NETWORKDAYS(E41,F41)</f>
        <v>3</v>
      </c>
      <c r="H41" s="11" t="s">
        <v>17</v>
      </c>
      <c r="I41" s="9"/>
    </row>
    <row r="42" customFormat="false" ht="15" hidden="false" customHeight="true" outlineLevel="0" collapsed="false">
      <c r="A42" s="7" t="s">
        <v>110</v>
      </c>
      <c r="B42" s="8" t="s">
        <v>113</v>
      </c>
      <c r="C42" s="9" t="s">
        <v>114</v>
      </c>
      <c r="D42" s="7" t="s">
        <v>106</v>
      </c>
      <c r="E42" s="10" t="n">
        <v>46293</v>
      </c>
      <c r="F42" s="10" t="n">
        <v>46297</v>
      </c>
      <c r="G42" s="8" t="n">
        <f aca="false">NETWORKDAYS(E42,F42)</f>
        <v>5</v>
      </c>
      <c r="H42" s="11" t="s">
        <v>17</v>
      </c>
      <c r="I42" s="9" t="s">
        <v>115</v>
      </c>
    </row>
    <row r="43" customFormat="false" ht="23.25" hidden="false" customHeight="true" outlineLevel="0" collapsed="false">
      <c r="A43" s="7" t="s">
        <v>110</v>
      </c>
      <c r="B43" s="8" t="s">
        <v>116</v>
      </c>
      <c r="C43" s="9" t="s">
        <v>117</v>
      </c>
      <c r="D43" s="7" t="s">
        <v>56</v>
      </c>
      <c r="E43" s="10" t="n">
        <v>46280</v>
      </c>
      <c r="F43" s="10" t="n">
        <v>46281</v>
      </c>
      <c r="G43" s="8" t="n">
        <f aca="false">NETWORKDAYS(E43,F43)</f>
        <v>2</v>
      </c>
      <c r="H43" s="11" t="s">
        <v>17</v>
      </c>
      <c r="I43" s="9" t="s">
        <v>118</v>
      </c>
    </row>
    <row r="44" customFormat="false" ht="34.5" hidden="false" customHeight="true" outlineLevel="0" collapsed="false">
      <c r="A44" s="7" t="s">
        <v>100</v>
      </c>
      <c r="B44" s="8" t="s">
        <v>119</v>
      </c>
      <c r="C44" s="9" t="s">
        <v>120</v>
      </c>
      <c r="D44" s="7" t="s">
        <v>56</v>
      </c>
      <c r="E44" s="10" t="n">
        <v>46280</v>
      </c>
      <c r="F44" s="10" t="n">
        <v>46282</v>
      </c>
      <c r="G44" s="8" t="n">
        <f aca="false">NETWORKDAYS(E44,F44)</f>
        <v>3</v>
      </c>
      <c r="H44" s="11" t="s">
        <v>17</v>
      </c>
      <c r="I44" s="9" t="s">
        <v>121</v>
      </c>
    </row>
    <row r="45" customFormat="false" ht="34.5" hidden="false" customHeight="true" outlineLevel="0" collapsed="false">
      <c r="A45" s="7" t="s">
        <v>100</v>
      </c>
      <c r="B45" s="8" t="s">
        <v>122</v>
      </c>
      <c r="C45" s="9" t="s">
        <v>123</v>
      </c>
      <c r="D45" s="7" t="s">
        <v>56</v>
      </c>
      <c r="E45" s="10" t="n">
        <v>46279</v>
      </c>
      <c r="F45" s="10" t="n">
        <v>46280</v>
      </c>
      <c r="G45" s="8" t="n">
        <f aca="false">NETWORKDAYS(E45,F45)</f>
        <v>2</v>
      </c>
      <c r="H45" s="11" t="s">
        <v>17</v>
      </c>
      <c r="I45" s="9" t="s">
        <v>124</v>
      </c>
    </row>
    <row r="46" customFormat="false" ht="23.25" hidden="false" customHeight="true" outlineLevel="0" collapsed="false">
      <c r="A46" s="7" t="s">
        <v>110</v>
      </c>
      <c r="B46" s="8" t="s">
        <v>125</v>
      </c>
      <c r="C46" s="9" t="s">
        <v>126</v>
      </c>
      <c r="D46" s="7" t="s">
        <v>56</v>
      </c>
      <c r="E46" s="10" t="n">
        <v>46281</v>
      </c>
      <c r="F46" s="10" t="n">
        <v>46282</v>
      </c>
      <c r="G46" s="8" t="n">
        <f aca="false">NETWORKDAYS(E46,F46)</f>
        <v>2</v>
      </c>
      <c r="H46" s="11" t="s">
        <v>17</v>
      </c>
      <c r="I46" s="9" t="s">
        <v>127</v>
      </c>
    </row>
    <row r="47" customFormat="false" ht="23.25" hidden="false" customHeight="true" outlineLevel="0" collapsed="false">
      <c r="A47" s="7" t="s">
        <v>100</v>
      </c>
      <c r="B47" s="8" t="s">
        <v>128</v>
      </c>
      <c r="C47" s="9" t="s">
        <v>129</v>
      </c>
      <c r="D47" s="7" t="s">
        <v>130</v>
      </c>
      <c r="E47" s="10" t="n">
        <v>46281</v>
      </c>
      <c r="F47" s="10" t="n">
        <v>46283</v>
      </c>
      <c r="G47" s="8" t="n">
        <f aca="false">NETWORKDAYS(E47,F47)</f>
        <v>3</v>
      </c>
      <c r="H47" s="11" t="s">
        <v>17</v>
      </c>
      <c r="I47" s="9" t="s">
        <v>131</v>
      </c>
    </row>
    <row r="48" customFormat="false" ht="23.25" hidden="false" customHeight="true" outlineLevel="0" collapsed="false">
      <c r="A48" s="7" t="s">
        <v>110</v>
      </c>
      <c r="B48" s="8" t="s">
        <v>132</v>
      </c>
      <c r="C48" s="9" t="s">
        <v>133</v>
      </c>
      <c r="D48" s="7" t="s">
        <v>56</v>
      </c>
      <c r="E48" s="10" t="n">
        <v>46293</v>
      </c>
      <c r="F48" s="10" t="n">
        <v>46302</v>
      </c>
      <c r="G48" s="8" t="n">
        <f aca="false">NETWORKDAYS(E48,F48)</f>
        <v>8</v>
      </c>
      <c r="H48" s="11" t="s">
        <v>17</v>
      </c>
      <c r="I48" s="9" t="s">
        <v>134</v>
      </c>
    </row>
    <row r="49" customFormat="false" ht="15" hidden="false" customHeight="true" outlineLevel="0" collapsed="false">
      <c r="A49" s="7" t="s">
        <v>100</v>
      </c>
      <c r="B49" s="8" t="s">
        <v>135</v>
      </c>
      <c r="C49" s="9" t="s">
        <v>136</v>
      </c>
      <c r="D49" s="7" t="s">
        <v>106</v>
      </c>
      <c r="E49" s="10" t="n">
        <v>46283</v>
      </c>
      <c r="F49" s="10" t="n">
        <v>46283</v>
      </c>
      <c r="G49" s="8" t="n">
        <f aca="false">NETWORKDAYS(E49,F49)</f>
        <v>1</v>
      </c>
      <c r="H49" s="11" t="s">
        <v>17</v>
      </c>
      <c r="I49" s="9" t="s">
        <v>137</v>
      </c>
    </row>
    <row r="50" customFormat="false" ht="19.5" hidden="false" customHeight="true" outlineLevel="0" collapsed="false">
      <c r="A50" s="6" t="s">
        <v>138</v>
      </c>
      <c r="B50" s="6"/>
      <c r="C50" s="6"/>
      <c r="D50" s="6"/>
      <c r="E50" s="6"/>
      <c r="F50" s="6"/>
      <c r="G50" s="6"/>
      <c r="H50" s="6"/>
      <c r="I50" s="6"/>
    </row>
    <row r="51" customFormat="false" ht="23.25" hidden="false" customHeight="true" outlineLevel="0" collapsed="false">
      <c r="A51" s="7" t="s">
        <v>139</v>
      </c>
      <c r="B51" s="8" t="s">
        <v>140</v>
      </c>
      <c r="C51" s="9" t="s">
        <v>141</v>
      </c>
      <c r="D51" s="7" t="s">
        <v>41</v>
      </c>
      <c r="E51" s="10" t="n">
        <v>46286</v>
      </c>
      <c r="F51" s="10" t="n">
        <v>46286</v>
      </c>
      <c r="G51" s="8" t="n">
        <f aca="false">NETWORKDAYS(E51,F51)</f>
        <v>1</v>
      </c>
      <c r="H51" s="11" t="s">
        <v>17</v>
      </c>
      <c r="I51" s="9" t="s">
        <v>142</v>
      </c>
    </row>
    <row r="52" customFormat="false" ht="15" hidden="false" customHeight="true" outlineLevel="0" collapsed="false">
      <c r="A52" s="7" t="s">
        <v>139</v>
      </c>
      <c r="B52" s="8" t="s">
        <v>143</v>
      </c>
      <c r="C52" s="9" t="s">
        <v>144</v>
      </c>
      <c r="D52" s="7" t="s">
        <v>41</v>
      </c>
      <c r="E52" s="10" t="n">
        <v>46286</v>
      </c>
      <c r="F52" s="10" t="n">
        <v>46290</v>
      </c>
      <c r="G52" s="8" t="n">
        <f aca="false">NETWORKDAYS(E52,F52)</f>
        <v>5</v>
      </c>
      <c r="H52" s="11" t="s">
        <v>17</v>
      </c>
      <c r="I52" s="9"/>
    </row>
    <row r="53" customFormat="false" ht="15" hidden="false" customHeight="true" outlineLevel="0" collapsed="false">
      <c r="A53" s="7" t="s">
        <v>139</v>
      </c>
      <c r="B53" s="8" t="s">
        <v>145</v>
      </c>
      <c r="C53" s="9" t="s">
        <v>146</v>
      </c>
      <c r="D53" s="7" t="s">
        <v>41</v>
      </c>
      <c r="E53" s="10" t="n">
        <v>46288</v>
      </c>
      <c r="F53" s="10" t="n">
        <v>46301</v>
      </c>
      <c r="G53" s="8" t="n">
        <f aca="false">NETWORKDAYS(E53,F53)</f>
        <v>10</v>
      </c>
      <c r="H53" s="11" t="s">
        <v>17</v>
      </c>
      <c r="I53" s="9" t="s">
        <v>147</v>
      </c>
    </row>
    <row r="54" customFormat="false" ht="15" hidden="false" customHeight="true" outlineLevel="0" collapsed="false">
      <c r="A54" s="7" t="s">
        <v>139</v>
      </c>
      <c r="B54" s="8" t="s">
        <v>148</v>
      </c>
      <c r="C54" s="9" t="s">
        <v>149</v>
      </c>
      <c r="D54" s="7" t="s">
        <v>41</v>
      </c>
      <c r="E54" s="10" t="n">
        <v>46300</v>
      </c>
      <c r="F54" s="10" t="n">
        <v>46301</v>
      </c>
      <c r="G54" s="8" t="n">
        <f aca="false">NETWORKDAYS(E54,F54)</f>
        <v>2</v>
      </c>
      <c r="H54" s="11" t="s">
        <v>17</v>
      </c>
      <c r="I54" s="9"/>
    </row>
    <row r="55" customFormat="false" ht="15" hidden="false" customHeight="true" outlineLevel="0" collapsed="false">
      <c r="A55" s="7" t="s">
        <v>139</v>
      </c>
      <c r="B55" s="8" t="s">
        <v>150</v>
      </c>
      <c r="C55" s="9" t="s">
        <v>151</v>
      </c>
      <c r="D55" s="7" t="s">
        <v>41</v>
      </c>
      <c r="E55" s="10" t="n">
        <v>46301</v>
      </c>
      <c r="F55" s="10" t="n">
        <v>46303</v>
      </c>
      <c r="G55" s="8" t="n">
        <f aca="false">NETWORKDAYS(E55,F55)</f>
        <v>3</v>
      </c>
      <c r="H55" s="11" t="s">
        <v>17</v>
      </c>
      <c r="I55" s="9"/>
    </row>
    <row r="56" customFormat="false" ht="15" hidden="false" customHeight="true" outlineLevel="0" collapsed="false">
      <c r="A56" s="7" t="s">
        <v>139</v>
      </c>
      <c r="B56" s="8" t="s">
        <v>152</v>
      </c>
      <c r="C56" s="9" t="s">
        <v>153</v>
      </c>
      <c r="D56" s="7" t="s">
        <v>41</v>
      </c>
      <c r="E56" s="10" t="n">
        <v>46303</v>
      </c>
      <c r="F56" s="10" t="n">
        <v>46303</v>
      </c>
      <c r="G56" s="8" t="n">
        <f aca="false">NETWORKDAYS(E56,F56)</f>
        <v>1</v>
      </c>
      <c r="H56" s="11" t="s">
        <v>17</v>
      </c>
      <c r="I56" s="9"/>
    </row>
    <row r="57" customFormat="false" ht="15" hidden="false" customHeight="true" outlineLevel="0" collapsed="false">
      <c r="A57" s="7" t="s">
        <v>139</v>
      </c>
      <c r="B57" s="8" t="s">
        <v>154</v>
      </c>
      <c r="C57" s="9" t="s">
        <v>155</v>
      </c>
      <c r="D57" s="7" t="s">
        <v>41</v>
      </c>
      <c r="E57" s="10" t="n">
        <v>46304</v>
      </c>
      <c r="F57" s="10" t="n">
        <v>46304</v>
      </c>
      <c r="G57" s="8" t="n">
        <f aca="false">NETWORKDAYS(E57,F57)</f>
        <v>1</v>
      </c>
      <c r="H57" s="11" t="s">
        <v>17</v>
      </c>
      <c r="I57" s="9" t="s">
        <v>156</v>
      </c>
    </row>
    <row r="58" customFormat="false" ht="15" hidden="false" customHeight="true" outlineLevel="0" collapsed="false">
      <c r="A58" s="7" t="s">
        <v>139</v>
      </c>
      <c r="B58" s="8" t="s">
        <v>157</v>
      </c>
      <c r="C58" s="9" t="s">
        <v>158</v>
      </c>
      <c r="D58" s="7" t="s">
        <v>41</v>
      </c>
      <c r="E58" s="10" t="n">
        <v>46304</v>
      </c>
      <c r="F58" s="10" t="n">
        <v>46304</v>
      </c>
      <c r="G58" s="8" t="n">
        <f aca="false">NETWORKDAYS(E58,F58)</f>
        <v>1</v>
      </c>
      <c r="H58" s="11" t="s">
        <v>17</v>
      </c>
      <c r="I58" s="9" t="s">
        <v>159</v>
      </c>
    </row>
    <row r="59" customFormat="false" ht="19.5" hidden="false" customHeight="true" outlineLevel="0" collapsed="false">
      <c r="A59" s="6" t="s">
        <v>160</v>
      </c>
      <c r="B59" s="6"/>
      <c r="C59" s="6"/>
      <c r="D59" s="6"/>
      <c r="E59" s="6"/>
      <c r="F59" s="6"/>
      <c r="G59" s="6"/>
      <c r="H59" s="6"/>
      <c r="I59" s="6"/>
    </row>
    <row r="60" customFormat="false" ht="15" hidden="false" customHeight="true" outlineLevel="0" collapsed="false">
      <c r="A60" s="7" t="s">
        <v>161</v>
      </c>
      <c r="B60" s="8" t="s">
        <v>162</v>
      </c>
      <c r="C60" s="9" t="s">
        <v>163</v>
      </c>
      <c r="D60" s="7" t="s">
        <v>41</v>
      </c>
      <c r="E60" s="10" t="n">
        <v>46307</v>
      </c>
      <c r="F60" s="10" t="n">
        <v>46307</v>
      </c>
      <c r="G60" s="8" t="n">
        <f aca="false">NETWORKDAYS(E60,F60)</f>
        <v>1</v>
      </c>
      <c r="H60" s="11" t="s">
        <v>17</v>
      </c>
      <c r="I60" s="9" t="s">
        <v>164</v>
      </c>
    </row>
    <row r="61" customFormat="false" ht="15" hidden="false" customHeight="true" outlineLevel="0" collapsed="false">
      <c r="A61" s="7" t="s">
        <v>161</v>
      </c>
      <c r="B61" s="8" t="s">
        <v>165</v>
      </c>
      <c r="C61" s="9" t="s">
        <v>166</v>
      </c>
      <c r="D61" s="7" t="s">
        <v>41</v>
      </c>
      <c r="E61" s="10" t="n">
        <v>46307</v>
      </c>
      <c r="F61" s="10" t="n">
        <v>46311</v>
      </c>
      <c r="G61" s="8" t="n">
        <f aca="false">NETWORKDAYS(E61,F61)</f>
        <v>5</v>
      </c>
      <c r="H61" s="11" t="s">
        <v>17</v>
      </c>
      <c r="I61" s="9"/>
    </row>
    <row r="62" customFormat="false" ht="15" hidden="false" customHeight="true" outlineLevel="0" collapsed="false">
      <c r="A62" s="7" t="s">
        <v>161</v>
      </c>
      <c r="B62" s="8" t="s">
        <v>167</v>
      </c>
      <c r="C62" s="9" t="s">
        <v>168</v>
      </c>
      <c r="D62" s="7" t="s">
        <v>41</v>
      </c>
      <c r="E62" s="10" t="n">
        <v>46309</v>
      </c>
      <c r="F62" s="10" t="n">
        <v>46322</v>
      </c>
      <c r="G62" s="8" t="n">
        <f aca="false">NETWORKDAYS(E62,F62)</f>
        <v>10</v>
      </c>
      <c r="H62" s="11" t="s">
        <v>17</v>
      </c>
      <c r="I62" s="9" t="s">
        <v>169</v>
      </c>
    </row>
    <row r="63" customFormat="false" ht="15" hidden="false" customHeight="true" outlineLevel="0" collapsed="false">
      <c r="A63" s="7" t="s">
        <v>161</v>
      </c>
      <c r="B63" s="8" t="s">
        <v>170</v>
      </c>
      <c r="C63" s="9" t="s">
        <v>171</v>
      </c>
      <c r="D63" s="7" t="s">
        <v>41</v>
      </c>
      <c r="E63" s="10" t="n">
        <v>46322</v>
      </c>
      <c r="F63" s="10" t="n">
        <v>46324</v>
      </c>
      <c r="G63" s="8" t="n">
        <f aca="false">NETWORKDAYS(E63,F63)</f>
        <v>3</v>
      </c>
      <c r="H63" s="11" t="s">
        <v>17</v>
      </c>
      <c r="I63" s="9"/>
    </row>
    <row r="64" customFormat="false" ht="15" hidden="false" customHeight="true" outlineLevel="0" collapsed="false">
      <c r="A64" s="7" t="s">
        <v>161</v>
      </c>
      <c r="B64" s="8" t="s">
        <v>172</v>
      </c>
      <c r="C64" s="9" t="s">
        <v>173</v>
      </c>
      <c r="D64" s="7" t="s">
        <v>41</v>
      </c>
      <c r="E64" s="10" t="n">
        <v>46325</v>
      </c>
      <c r="F64" s="10" t="n">
        <v>46325</v>
      </c>
      <c r="G64" s="8" t="n">
        <f aca="false">NETWORKDAYS(E64,F64)</f>
        <v>1</v>
      </c>
      <c r="H64" s="11" t="s">
        <v>17</v>
      </c>
      <c r="I64" s="9"/>
    </row>
    <row r="65" customFormat="false" ht="15" hidden="false" customHeight="true" outlineLevel="0" collapsed="false">
      <c r="A65" s="7" t="s">
        <v>161</v>
      </c>
      <c r="B65" s="8" t="s">
        <v>174</v>
      </c>
      <c r="C65" s="9" t="s">
        <v>175</v>
      </c>
      <c r="D65" s="7" t="s">
        <v>41</v>
      </c>
      <c r="E65" s="10" t="n">
        <v>46325</v>
      </c>
      <c r="F65" s="10" t="n">
        <v>46325</v>
      </c>
      <c r="G65" s="8" t="n">
        <f aca="false">NETWORKDAYS(E65,F65)</f>
        <v>1</v>
      </c>
      <c r="H65" s="11" t="s">
        <v>17</v>
      </c>
      <c r="I65" s="9" t="s">
        <v>176</v>
      </c>
    </row>
    <row r="66" customFormat="false" ht="19.5" hidden="false" customHeight="true" outlineLevel="0" collapsed="false">
      <c r="A66" s="6" t="s">
        <v>177</v>
      </c>
      <c r="B66" s="6"/>
      <c r="C66" s="6"/>
      <c r="D66" s="6"/>
      <c r="E66" s="6"/>
      <c r="F66" s="6"/>
      <c r="G66" s="6"/>
      <c r="H66" s="6"/>
      <c r="I66" s="6"/>
    </row>
    <row r="67" customFormat="false" ht="15" hidden="false" customHeight="true" outlineLevel="0" collapsed="false">
      <c r="A67" s="7" t="s">
        <v>178</v>
      </c>
      <c r="B67" s="8" t="s">
        <v>179</v>
      </c>
      <c r="C67" s="9" t="s">
        <v>180</v>
      </c>
      <c r="D67" s="7" t="s">
        <v>106</v>
      </c>
      <c r="E67" s="10" t="n">
        <v>46328</v>
      </c>
      <c r="F67" s="10" t="n">
        <v>46329</v>
      </c>
      <c r="G67" s="8" t="n">
        <f aca="false">NETWORKDAYS(E67,F67)</f>
        <v>2</v>
      </c>
      <c r="H67" s="11" t="s">
        <v>17</v>
      </c>
      <c r="I67" s="9"/>
    </row>
    <row r="68" customFormat="false" ht="15" hidden="false" customHeight="true" outlineLevel="0" collapsed="false">
      <c r="A68" s="7" t="s">
        <v>178</v>
      </c>
      <c r="B68" s="8" t="s">
        <v>181</v>
      </c>
      <c r="C68" s="9" t="s">
        <v>182</v>
      </c>
      <c r="D68" s="7" t="s">
        <v>106</v>
      </c>
      <c r="E68" s="10" t="n">
        <v>46329</v>
      </c>
      <c r="F68" s="10" t="n">
        <v>46331</v>
      </c>
      <c r="G68" s="8" t="n">
        <f aca="false">NETWORKDAYS(E68,F68)</f>
        <v>3</v>
      </c>
      <c r="H68" s="11" t="s">
        <v>17</v>
      </c>
      <c r="I68" s="9"/>
    </row>
    <row r="69" customFormat="false" ht="15" hidden="false" customHeight="true" outlineLevel="0" collapsed="false">
      <c r="A69" s="7" t="s">
        <v>178</v>
      </c>
      <c r="B69" s="8" t="s">
        <v>183</v>
      </c>
      <c r="C69" s="9" t="s">
        <v>184</v>
      </c>
      <c r="D69" s="7" t="s">
        <v>56</v>
      </c>
      <c r="E69" s="10" t="n">
        <v>46331</v>
      </c>
      <c r="F69" s="10" t="n">
        <v>46332</v>
      </c>
      <c r="G69" s="8" t="n">
        <f aca="false">NETWORKDAYS(E69,F69)</f>
        <v>2</v>
      </c>
      <c r="H69" s="11" t="s">
        <v>17</v>
      </c>
      <c r="I69" s="9"/>
    </row>
    <row r="70" customFormat="false" ht="15" hidden="false" customHeight="true" outlineLevel="0" collapsed="false">
      <c r="A70" s="7" t="s">
        <v>178</v>
      </c>
      <c r="B70" s="8" t="s">
        <v>185</v>
      </c>
      <c r="C70" s="9" t="s">
        <v>186</v>
      </c>
      <c r="D70" s="7" t="s">
        <v>106</v>
      </c>
      <c r="E70" s="10" t="n">
        <v>46330</v>
      </c>
      <c r="F70" s="10" t="n">
        <v>46332</v>
      </c>
      <c r="G70" s="8" t="n">
        <f aca="false">NETWORKDAYS(E70,F70)</f>
        <v>3</v>
      </c>
      <c r="H70" s="11" t="s">
        <v>17</v>
      </c>
      <c r="I70" s="9" t="s">
        <v>187</v>
      </c>
    </row>
    <row r="71" customFormat="false" ht="19.5" hidden="false" customHeight="true" outlineLevel="0" collapsed="false">
      <c r="A71" s="12" t="s">
        <v>188</v>
      </c>
      <c r="B71" s="12"/>
      <c r="C71" s="12"/>
      <c r="D71" s="12"/>
      <c r="E71" s="12"/>
      <c r="F71" s="12"/>
      <c r="G71" s="12"/>
      <c r="H71" s="12"/>
      <c r="I71" s="12"/>
    </row>
    <row r="72" customFormat="false" ht="23.25" hidden="false" customHeight="true" outlineLevel="0" collapsed="false">
      <c r="A72" s="13" t="s">
        <v>189</v>
      </c>
      <c r="B72" s="14" t="s">
        <v>190</v>
      </c>
      <c r="C72" s="15" t="s">
        <v>191</v>
      </c>
      <c r="D72" s="13" t="s">
        <v>41</v>
      </c>
      <c r="E72" s="16" t="n">
        <v>46335</v>
      </c>
      <c r="F72" s="16" t="n">
        <v>46339</v>
      </c>
      <c r="G72" s="14" t="n">
        <f aca="false">NETWORKDAYS(E72,F72)</f>
        <v>5</v>
      </c>
      <c r="H72" s="17" t="s">
        <v>17</v>
      </c>
      <c r="I72" s="15" t="s">
        <v>192</v>
      </c>
    </row>
    <row r="73" customFormat="false" ht="45.75" hidden="false" customHeight="true" outlineLevel="0" collapsed="false">
      <c r="A73" s="13" t="s">
        <v>189</v>
      </c>
      <c r="B73" s="14" t="s">
        <v>193</v>
      </c>
      <c r="C73" s="15" t="s">
        <v>194</v>
      </c>
      <c r="D73" s="13" t="s">
        <v>41</v>
      </c>
      <c r="E73" s="16" t="n">
        <v>46339</v>
      </c>
      <c r="F73" s="16" t="n">
        <v>46339</v>
      </c>
      <c r="G73" s="14" t="n">
        <f aca="false">NETWORKDAYS(E73,F73)</f>
        <v>1</v>
      </c>
      <c r="H73" s="17" t="s">
        <v>17</v>
      </c>
      <c r="I73" s="15" t="s">
        <v>195</v>
      </c>
    </row>
    <row r="74" customFormat="false" ht="19.5" hidden="false" customHeight="true" outlineLevel="0" collapsed="false">
      <c r="A74" s="6" t="s">
        <v>196</v>
      </c>
      <c r="B74" s="6"/>
      <c r="C74" s="6"/>
      <c r="D74" s="6"/>
      <c r="E74" s="6"/>
      <c r="F74" s="6"/>
      <c r="G74" s="6"/>
      <c r="H74" s="6"/>
      <c r="I74" s="6"/>
    </row>
    <row r="75" customFormat="false" ht="15" hidden="false" customHeight="true" outlineLevel="0" collapsed="false">
      <c r="A75" s="7" t="s">
        <v>197</v>
      </c>
      <c r="B75" s="8" t="s">
        <v>198</v>
      </c>
      <c r="C75" s="9" t="s">
        <v>199</v>
      </c>
      <c r="D75" s="7" t="s">
        <v>56</v>
      </c>
      <c r="E75" s="10" t="n">
        <v>46342</v>
      </c>
      <c r="F75" s="10" t="n">
        <v>46346</v>
      </c>
      <c r="G75" s="8" t="n">
        <f aca="false">NETWORKDAYS(E75,F75)</f>
        <v>5</v>
      </c>
      <c r="H75" s="11" t="s">
        <v>17</v>
      </c>
      <c r="I75" s="9" t="s">
        <v>200</v>
      </c>
    </row>
    <row r="76" customFormat="false" ht="15" hidden="false" customHeight="true" outlineLevel="0" collapsed="false">
      <c r="A76" s="7" t="s">
        <v>197</v>
      </c>
      <c r="B76" s="8" t="s">
        <v>201</v>
      </c>
      <c r="C76" s="9" t="s">
        <v>202</v>
      </c>
      <c r="D76" s="7" t="s">
        <v>56</v>
      </c>
      <c r="E76" s="10" t="n">
        <v>46346</v>
      </c>
      <c r="F76" s="10" t="n">
        <v>46353</v>
      </c>
      <c r="G76" s="8" t="n">
        <f aca="false">NETWORKDAYS(E76,F76)</f>
        <v>6</v>
      </c>
      <c r="H76" s="11" t="s">
        <v>17</v>
      </c>
      <c r="I76" s="9"/>
    </row>
    <row r="77" customFormat="false" ht="15" hidden="false" customHeight="true" outlineLevel="0" collapsed="false">
      <c r="A77" s="7" t="s">
        <v>197</v>
      </c>
      <c r="B77" s="8" t="s">
        <v>203</v>
      </c>
      <c r="C77" s="9" t="s">
        <v>204</v>
      </c>
      <c r="D77" s="7" t="s">
        <v>56</v>
      </c>
      <c r="E77" s="10" t="n">
        <v>46356</v>
      </c>
      <c r="F77" s="10" t="n">
        <v>46360</v>
      </c>
      <c r="G77" s="8" t="n">
        <f aca="false">NETWORKDAYS(E77,F77)</f>
        <v>5</v>
      </c>
      <c r="H77" s="11" t="s">
        <v>17</v>
      </c>
      <c r="I77" s="9"/>
    </row>
    <row r="78" customFormat="false" ht="15" hidden="false" customHeight="true" outlineLevel="0" collapsed="false">
      <c r="A78" s="7" t="s">
        <v>197</v>
      </c>
      <c r="B78" s="8" t="s">
        <v>205</v>
      </c>
      <c r="C78" s="9" t="s">
        <v>206</v>
      </c>
      <c r="D78" s="7" t="s">
        <v>56</v>
      </c>
      <c r="E78" s="10" t="n">
        <v>46358</v>
      </c>
      <c r="F78" s="10" t="n">
        <v>46360</v>
      </c>
      <c r="G78" s="8" t="n">
        <f aca="false">NETWORKDAYS(E78,F78)</f>
        <v>3</v>
      </c>
      <c r="H78" s="11" t="s">
        <v>17</v>
      </c>
      <c r="I78" s="9"/>
    </row>
    <row r="79" customFormat="false" ht="15" hidden="false" customHeight="true" outlineLevel="0" collapsed="false">
      <c r="A79" s="7" t="s">
        <v>197</v>
      </c>
      <c r="B79" s="8" t="s">
        <v>207</v>
      </c>
      <c r="C79" s="9" t="s">
        <v>208</v>
      </c>
      <c r="D79" s="7" t="s">
        <v>56</v>
      </c>
      <c r="E79" s="10" t="n">
        <v>46363</v>
      </c>
      <c r="F79" s="10" t="n">
        <v>46366</v>
      </c>
      <c r="G79" s="8" t="n">
        <f aca="false">NETWORKDAYS(E79,F79)</f>
        <v>4</v>
      </c>
      <c r="H79" s="11" t="s">
        <v>17</v>
      </c>
      <c r="I79" s="9"/>
    </row>
    <row r="80" customFormat="false" ht="15" hidden="false" customHeight="true" outlineLevel="0" collapsed="false">
      <c r="A80" s="7" t="s">
        <v>197</v>
      </c>
      <c r="B80" s="8" t="s">
        <v>209</v>
      </c>
      <c r="C80" s="9" t="s">
        <v>210</v>
      </c>
      <c r="D80" s="7" t="s">
        <v>106</v>
      </c>
      <c r="E80" s="10" t="n">
        <v>46367</v>
      </c>
      <c r="F80" s="10" t="n">
        <v>46367</v>
      </c>
      <c r="G80" s="8" t="n">
        <f aca="false">NETWORKDAYS(E80,F80)</f>
        <v>1</v>
      </c>
      <c r="H80" s="11" t="s">
        <v>17</v>
      </c>
      <c r="I80" s="9" t="s">
        <v>211</v>
      </c>
    </row>
    <row r="81" customFormat="false" ht="19.5" hidden="false" customHeight="true" outlineLevel="0" collapsed="false">
      <c r="A81" s="6" t="s">
        <v>212</v>
      </c>
      <c r="B81" s="6"/>
      <c r="C81" s="6"/>
      <c r="D81" s="6"/>
      <c r="E81" s="6"/>
      <c r="F81" s="6"/>
      <c r="G81" s="6"/>
      <c r="H81" s="6"/>
      <c r="I81" s="6"/>
    </row>
    <row r="82" customFormat="false" ht="23.25" hidden="false" customHeight="true" outlineLevel="0" collapsed="false">
      <c r="A82" s="7" t="s">
        <v>213</v>
      </c>
      <c r="B82" s="8" t="s">
        <v>214</v>
      </c>
      <c r="C82" s="9" t="s">
        <v>215</v>
      </c>
      <c r="D82" s="7" t="s">
        <v>41</v>
      </c>
      <c r="E82" s="10" t="n">
        <v>46307</v>
      </c>
      <c r="F82" s="10" t="n">
        <v>46444</v>
      </c>
      <c r="G82" s="8" t="n">
        <f aca="false">NETWORKDAYS(E82,F82)</f>
        <v>100</v>
      </c>
      <c r="H82" s="11" t="s">
        <v>17</v>
      </c>
      <c r="I82" s="9" t="s">
        <v>216</v>
      </c>
    </row>
    <row r="83" customFormat="false" ht="15" hidden="false" customHeight="true" outlineLevel="0" collapsed="false">
      <c r="A83" s="7" t="s">
        <v>213</v>
      </c>
      <c r="B83" s="8" t="s">
        <v>217</v>
      </c>
      <c r="C83" s="9" t="s">
        <v>218</v>
      </c>
      <c r="D83" s="7" t="s">
        <v>20</v>
      </c>
      <c r="E83" s="10" t="n">
        <v>46328</v>
      </c>
      <c r="F83" s="10" t="n">
        <v>46444</v>
      </c>
      <c r="G83" s="8" t="n">
        <f aca="false">NETWORKDAYS(E83,F83)</f>
        <v>85</v>
      </c>
      <c r="H83" s="11" t="s">
        <v>17</v>
      </c>
      <c r="I83" s="9"/>
    </row>
    <row r="84" customFormat="false" ht="19.5" hidden="false" customHeight="true" outlineLevel="0" collapsed="false">
      <c r="A84" s="12" t="s">
        <v>219</v>
      </c>
      <c r="B84" s="12"/>
      <c r="C84" s="12"/>
      <c r="D84" s="12"/>
      <c r="E84" s="12"/>
      <c r="F84" s="12"/>
      <c r="G84" s="12"/>
      <c r="H84" s="12"/>
      <c r="I84" s="12"/>
    </row>
    <row r="85" customFormat="false" ht="23.25" hidden="false" customHeight="true" outlineLevel="0" collapsed="false">
      <c r="A85" s="13" t="s">
        <v>220</v>
      </c>
      <c r="B85" s="14" t="s">
        <v>221</v>
      </c>
      <c r="C85" s="15" t="s">
        <v>222</v>
      </c>
      <c r="D85" s="13" t="s">
        <v>34</v>
      </c>
      <c r="E85" s="16" t="n">
        <v>46447</v>
      </c>
      <c r="F85" s="16" t="n">
        <v>46450</v>
      </c>
      <c r="G85" s="14" t="n">
        <f aca="false">NETWORKDAYS(E85,F85)</f>
        <v>4</v>
      </c>
      <c r="H85" s="17" t="s">
        <v>17</v>
      </c>
      <c r="I85" s="15" t="s">
        <v>223</v>
      </c>
    </row>
    <row r="86" customFormat="false" ht="23.25" hidden="false" customHeight="true" outlineLevel="0" collapsed="false">
      <c r="A86" s="13" t="s">
        <v>220</v>
      </c>
      <c r="B86" s="14" t="s">
        <v>224</v>
      </c>
      <c r="C86" s="15" t="s">
        <v>225</v>
      </c>
      <c r="D86" s="13" t="s">
        <v>20</v>
      </c>
      <c r="E86" s="16" t="n">
        <v>46451</v>
      </c>
      <c r="F86" s="16" t="n">
        <v>46451</v>
      </c>
      <c r="G86" s="14" t="n">
        <f aca="false">NETWORKDAYS(E86,F86)</f>
        <v>1</v>
      </c>
      <c r="H86" s="17" t="s">
        <v>17</v>
      </c>
      <c r="I86" s="15" t="s">
        <v>226</v>
      </c>
    </row>
    <row r="87" customFormat="false" ht="19.5" hidden="false" customHeight="true" outlineLevel="0" collapsed="false">
      <c r="A87" s="6" t="s">
        <v>227</v>
      </c>
      <c r="B87" s="6"/>
      <c r="C87" s="6"/>
      <c r="D87" s="6"/>
      <c r="E87" s="6"/>
      <c r="F87" s="6"/>
      <c r="G87" s="6"/>
      <c r="H87" s="6"/>
      <c r="I87" s="6"/>
    </row>
    <row r="88" customFormat="false" ht="15" hidden="false" customHeight="true" outlineLevel="0" collapsed="false">
      <c r="A88" s="7" t="s">
        <v>228</v>
      </c>
      <c r="B88" s="8" t="s">
        <v>229</v>
      </c>
      <c r="C88" s="9" t="s">
        <v>230</v>
      </c>
      <c r="D88" s="7" t="s">
        <v>41</v>
      </c>
      <c r="E88" s="10" t="n">
        <v>46454</v>
      </c>
      <c r="F88" s="10" t="n">
        <v>46528</v>
      </c>
      <c r="G88" s="8" t="n">
        <f aca="false">NETWORKDAYS(E88,F88)</f>
        <v>55</v>
      </c>
      <c r="H88" s="11" t="s">
        <v>17</v>
      </c>
      <c r="I88" s="9" t="s">
        <v>231</v>
      </c>
    </row>
  </sheetData>
  <autoFilter ref="A5:I84"/>
  <mergeCells count="13">
    <mergeCell ref="A6:I6"/>
    <mergeCell ref="A19:I19"/>
    <mergeCell ref="A28:I28"/>
    <mergeCell ref="A32:I32"/>
    <mergeCell ref="A37:I37"/>
    <mergeCell ref="A50:I50"/>
    <mergeCell ref="A59:I59"/>
    <mergeCell ref="A66:I66"/>
    <mergeCell ref="A71:I71"/>
    <mergeCell ref="A74:I74"/>
    <mergeCell ref="A81:I81"/>
    <mergeCell ref="A84:I84"/>
    <mergeCell ref="A87:I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4" min="3" style="1" width="12"/>
    <col collapsed="false" customWidth="true" hidden="false" outlineLevel="0" max="6" min="5" style="1" width="52"/>
  </cols>
  <sheetData>
    <row r="1" customFormat="false" ht="18" hidden="false" customHeight="true" outlineLevel="0" collapsed="false">
      <c r="A1" s="2" t="s">
        <v>232</v>
      </c>
    </row>
    <row r="2" customFormat="false" ht="15" hidden="false" customHeight="true" outlineLevel="0" collapsed="false">
      <c r="A2" s="3" t="s">
        <v>233</v>
      </c>
    </row>
    <row r="4" customFormat="false" ht="25.5" hidden="false" customHeight="true" outlineLevel="0" collapsed="false">
      <c r="A4" s="5" t="s">
        <v>234</v>
      </c>
      <c r="B4" s="5" t="s">
        <v>235</v>
      </c>
      <c r="C4" s="5" t="s">
        <v>236</v>
      </c>
      <c r="D4" s="5" t="s">
        <v>6</v>
      </c>
      <c r="E4" s="5" t="s">
        <v>237</v>
      </c>
      <c r="F4" s="5" t="s">
        <v>238</v>
      </c>
    </row>
    <row r="5" customFormat="false" ht="75.75" hidden="false" customHeight="true" outlineLevel="0" collapsed="false">
      <c r="A5" s="15" t="s">
        <v>239</v>
      </c>
      <c r="B5" s="18" t="s">
        <v>240</v>
      </c>
      <c r="C5" s="19" t="n">
        <v>46339</v>
      </c>
      <c r="D5" s="18" t="s">
        <v>41</v>
      </c>
      <c r="E5" s="18" t="s">
        <v>241</v>
      </c>
      <c r="F5" s="18" t="s">
        <v>242</v>
      </c>
    </row>
    <row r="6" customFormat="false" ht="75.75" hidden="false" customHeight="true" outlineLevel="0" collapsed="false">
      <c r="A6" s="15" t="s">
        <v>243</v>
      </c>
      <c r="B6" s="18" t="s">
        <v>244</v>
      </c>
      <c r="C6" s="19" t="n">
        <v>46451</v>
      </c>
      <c r="D6" s="18" t="s">
        <v>20</v>
      </c>
      <c r="E6" s="18" t="s">
        <v>245</v>
      </c>
      <c r="F6" s="18" t="s">
        <v>246</v>
      </c>
    </row>
    <row r="8" customFormat="false" ht="15" hidden="false" customHeight="true" outlineLevel="0" collapsed="false">
      <c r="A8" s="20" t="s">
        <v>247</v>
      </c>
    </row>
    <row r="9" customFormat="false" ht="61.5" hidden="false" customHeight="true" outlineLevel="0" collapsed="false">
      <c r="A9" s="21" t="s">
        <v>248</v>
      </c>
      <c r="B9" s="21"/>
      <c r="C9" s="21"/>
      <c r="D9" s="21"/>
      <c r="E9" s="21"/>
      <c r="F9" s="21"/>
    </row>
  </sheetData>
  <mergeCells count="1">
    <mergeCell ref="A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96"/>
  </cols>
  <sheetData>
    <row r="1" customFormat="false" ht="18" hidden="false" customHeight="true" outlineLevel="0" collapsed="false">
      <c r="A1" s="2" t="s">
        <v>249</v>
      </c>
    </row>
    <row r="3" customFormat="false" ht="15" hidden="false" customHeight="true" outlineLevel="0" collapsed="false">
      <c r="A3" s="22" t="s">
        <v>250</v>
      </c>
      <c r="B3" s="22" t="s">
        <v>251</v>
      </c>
    </row>
    <row r="4" customFormat="false" ht="30" hidden="false" customHeight="true" outlineLevel="0" collapsed="false">
      <c r="A4" s="23" t="s">
        <v>252</v>
      </c>
      <c r="B4" s="9" t="s">
        <v>253</v>
      </c>
    </row>
    <row r="5" customFormat="false" ht="30" hidden="false" customHeight="true" outlineLevel="0" collapsed="false">
      <c r="A5" s="23" t="s">
        <v>254</v>
      </c>
      <c r="B5" s="9" t="s">
        <v>255</v>
      </c>
    </row>
    <row r="6" customFormat="false" ht="30" hidden="false" customHeight="true" outlineLevel="0" collapsed="false">
      <c r="A6" s="23" t="s">
        <v>256</v>
      </c>
      <c r="B6" s="9" t="s">
        <v>257</v>
      </c>
    </row>
    <row r="7" customFormat="false" ht="30" hidden="false" customHeight="true" outlineLevel="0" collapsed="false">
      <c r="A7" s="23" t="s">
        <v>258</v>
      </c>
      <c r="B7" s="9" t="s">
        <v>259</v>
      </c>
    </row>
    <row r="8" customFormat="false" ht="30" hidden="false" customHeight="true" outlineLevel="0" collapsed="false">
      <c r="A8" s="23" t="s">
        <v>260</v>
      </c>
      <c r="B8" s="9" t="s">
        <v>261</v>
      </c>
    </row>
    <row r="9" customFormat="false" ht="30" hidden="false" customHeight="true" outlineLevel="0" collapsed="false">
      <c r="A9" s="23" t="s">
        <v>262</v>
      </c>
      <c r="B9" s="9" t="s">
        <v>263</v>
      </c>
    </row>
    <row r="10" customFormat="false" ht="30" hidden="false" customHeight="true" outlineLevel="0" collapsed="false">
      <c r="A10" s="23" t="s">
        <v>264</v>
      </c>
      <c r="B10" s="9" t="s">
        <v>265</v>
      </c>
    </row>
    <row r="11" customFormat="false" ht="15" hidden="false" customHeight="true" outlineLevel="0" collapsed="false">
      <c r="A11" s="24"/>
      <c r="B11" s="25"/>
    </row>
    <row r="12" customFormat="false" ht="30" hidden="false" customHeight="true" outlineLevel="0" collapsed="false">
      <c r="A12" s="23" t="s">
        <v>266</v>
      </c>
      <c r="B12" s="9" t="s">
        <v>267</v>
      </c>
    </row>
    <row r="13" customFormat="false" ht="30" hidden="false" customHeight="true" outlineLevel="0" collapsed="false">
      <c r="A13" s="23" t="s">
        <v>268</v>
      </c>
      <c r="B13" s="9" t="s">
        <v>269</v>
      </c>
    </row>
    <row r="14" customFormat="false" ht="30" hidden="false" customHeight="true" outlineLevel="0" collapsed="false">
      <c r="A14" s="23" t="s">
        <v>270</v>
      </c>
      <c r="B14" s="9" t="s">
        <v>271</v>
      </c>
    </row>
    <row r="15" customFormat="false" ht="30" hidden="false" customHeight="true" outlineLevel="0" collapsed="false">
      <c r="A15" s="23" t="s">
        <v>272</v>
      </c>
      <c r="B15" s="9" t="s">
        <v>273</v>
      </c>
    </row>
    <row r="16" customFormat="false" ht="30" hidden="false" customHeight="true" outlineLevel="0" collapsed="false">
      <c r="A16" s="23" t="s">
        <v>274</v>
      </c>
      <c r="B16" s="9" t="s">
        <v>275</v>
      </c>
    </row>
    <row r="17" customFormat="false" ht="30" hidden="false" customHeight="true" outlineLevel="0" collapsed="false">
      <c r="A17" s="23" t="s">
        <v>276</v>
      </c>
      <c r="B17" s="9" t="s">
        <v>277</v>
      </c>
    </row>
    <row r="18" customFormat="false" ht="30" hidden="false" customHeight="true" outlineLevel="0" collapsed="false">
      <c r="A18" s="23" t="s">
        <v>278</v>
      </c>
      <c r="B18" s="9" t="s">
        <v>279</v>
      </c>
    </row>
    <row r="19" customFormat="false" ht="30" hidden="false" customHeight="true" outlineLevel="0" collapsed="false">
      <c r="A19" s="23" t="s">
        <v>280</v>
      </c>
      <c r="B19" s="9" t="s">
        <v>281</v>
      </c>
    </row>
    <row r="20" customFormat="false" ht="15" hidden="false" customHeight="true" outlineLevel="0" collapsed="false">
      <c r="A20" s="24"/>
      <c r="B20" s="25"/>
    </row>
    <row r="21" customFormat="false" ht="30" hidden="false" customHeight="true" outlineLevel="0" collapsed="false">
      <c r="A21" s="23" t="s">
        <v>282</v>
      </c>
      <c r="B21" s="9" t="s">
        <v>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2026-08-26T16:43:41Z</dcterms:created>
  <dc:creator>openpyxl</dc:creator>
  <dc:description/>
  <dc:language>en-US</dc:language>
  <cp:lastModifiedBy/>
  <dcterms:modified xsi:type="dcterms:W3CDTF">2026-08-26T17:53:35Z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